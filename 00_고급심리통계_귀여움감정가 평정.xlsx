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귀여움 정도 평정" sheetId="1" r:id="rId4"/>
    <sheet state="visible" name="중립 사진 감정가 평정" sheetId="2" r:id="rId5"/>
  </sheets>
  <definedNames/>
  <calcPr/>
  <extLst>
    <ext uri="GoogleSheetsCustomDataVersion2">
      <go:sheetsCustomData xmlns:go="http://customooxmlschemas.google.com/" r:id="rId6" roundtripDataChecksum="ToAposDYVeIJfqon+nHh5Kls0n6Qu29bazkwkyQoxWs="/>
    </ext>
  </extLst>
</workbook>
</file>

<file path=xl/sharedStrings.xml><?xml version="1.0" encoding="utf-8"?>
<sst xmlns="http://schemas.openxmlformats.org/spreadsheetml/2006/main" count="224" uniqueCount="218">
  <si>
    <t>항목 | 인물</t>
  </si>
  <si>
    <t xml:space="preserve">예리 </t>
  </si>
  <si>
    <t>예진</t>
  </si>
  <si>
    <t>웅년</t>
  </si>
  <si>
    <t>주현</t>
  </si>
  <si>
    <t>영선</t>
  </si>
  <si>
    <t>성엽</t>
  </si>
  <si>
    <t>Mean</t>
  </si>
  <si>
    <t>SD</t>
  </si>
  <si>
    <t>예리-동물 1</t>
  </si>
  <si>
    <t>예리-동물 2</t>
  </si>
  <si>
    <t>예리-동물 3</t>
  </si>
  <si>
    <t>예리-동물 4</t>
  </si>
  <si>
    <t>예리-동물 5</t>
  </si>
  <si>
    <t>예리-동물 6</t>
  </si>
  <si>
    <t>예리-동물 7</t>
  </si>
  <si>
    <t>예리-아기1</t>
  </si>
  <si>
    <t>예리-아기2</t>
  </si>
  <si>
    <t>예리-아기3</t>
  </si>
  <si>
    <t>예리-아기4</t>
  </si>
  <si>
    <t>예리-아기5</t>
  </si>
  <si>
    <t>예리-아기6</t>
  </si>
  <si>
    <t>예리-아기7</t>
  </si>
  <si>
    <t>예리-캐릭터 1</t>
  </si>
  <si>
    <t>예리-캐릭터 2</t>
  </si>
  <si>
    <t>예리-캐릭터 3</t>
  </si>
  <si>
    <t>예리-캐릭터 4</t>
  </si>
  <si>
    <t>예리-캐릭터 5</t>
  </si>
  <si>
    <t>예리-캐릭터 6</t>
  </si>
  <si>
    <t>예리-캐릭터 7</t>
  </si>
  <si>
    <t>예진-동물 1</t>
  </si>
  <si>
    <t>예진-동물 2</t>
  </si>
  <si>
    <t>예진-동물 3</t>
  </si>
  <si>
    <t>예진-동물 4</t>
  </si>
  <si>
    <t>예진-동물 5</t>
  </si>
  <si>
    <t>예진-동물 6</t>
  </si>
  <si>
    <t>예진-동물 7</t>
  </si>
  <si>
    <t>예진-아기 1</t>
  </si>
  <si>
    <t>예진-아기 2</t>
  </si>
  <si>
    <t>예진-아기 3</t>
  </si>
  <si>
    <t>예진-아기 4</t>
  </si>
  <si>
    <t>예진-아기 5</t>
  </si>
  <si>
    <t>예진-아기 6</t>
  </si>
  <si>
    <t>예진-아기 7</t>
  </si>
  <si>
    <t>예진-캐릭터 1</t>
  </si>
  <si>
    <t>예진-캐릭터 2</t>
  </si>
  <si>
    <t>예진-캐릭터 3</t>
  </si>
  <si>
    <t>예진-캐릭터 4</t>
  </si>
  <si>
    <t>예진-캐릭터 5</t>
  </si>
  <si>
    <t>예진-캐릭터 6</t>
  </si>
  <si>
    <t>웅년-동물 1</t>
  </si>
  <si>
    <t>웅년-동물 2</t>
  </si>
  <si>
    <t>웅년-동물 3</t>
  </si>
  <si>
    <t>웅년-동물 4</t>
  </si>
  <si>
    <t>웅년-동물 5</t>
  </si>
  <si>
    <t>웅년-동물 6</t>
  </si>
  <si>
    <t>웅년-동물 7</t>
  </si>
  <si>
    <t>웅년-아기 1</t>
  </si>
  <si>
    <t>웅년-아기 2</t>
  </si>
  <si>
    <t>웅년-아기 3</t>
  </si>
  <si>
    <t>웅년-아기 4</t>
  </si>
  <si>
    <t>웅년-아기 5</t>
  </si>
  <si>
    <t>웅년-아기 6</t>
  </si>
  <si>
    <t>웅년-아기 7</t>
  </si>
  <si>
    <t>웅년-캐릭터 1</t>
  </si>
  <si>
    <t>웅년-캐릭터 2</t>
  </si>
  <si>
    <t>웅년-캐릭터 3</t>
  </si>
  <si>
    <t>웅년-캐릭터 4</t>
  </si>
  <si>
    <t>웅년-캐릭터 5</t>
  </si>
  <si>
    <t>웅년-캐릭터 6</t>
  </si>
  <si>
    <t>주현-동물 1</t>
  </si>
  <si>
    <t>주현-동물 2</t>
  </si>
  <si>
    <t>주현-동물 3</t>
  </si>
  <si>
    <t>주현-동물 4</t>
  </si>
  <si>
    <t>주현-동물 5</t>
  </si>
  <si>
    <t>주현-동물 6</t>
  </si>
  <si>
    <t>주현-동물 7</t>
  </si>
  <si>
    <t>주현-아기 1</t>
  </si>
  <si>
    <t>주현-아기 2</t>
  </si>
  <si>
    <t>주현-아기 3</t>
  </si>
  <si>
    <t>주현-아기 4</t>
  </si>
  <si>
    <t>주현-아기 5</t>
  </si>
  <si>
    <t>주현-아기 6</t>
  </si>
  <si>
    <t>주현-캐릭터 1</t>
  </si>
  <si>
    <t>주현-캐릭터 2</t>
  </si>
  <si>
    <t>주현-캐릭터 3</t>
  </si>
  <si>
    <t>주현-캐릭터 4</t>
  </si>
  <si>
    <t>주현-캐릭터 5</t>
  </si>
  <si>
    <t>주현-캐릭터 6</t>
  </si>
  <si>
    <t>주현-캐릭터 7</t>
  </si>
  <si>
    <t>영선-동물 1</t>
  </si>
  <si>
    <t>영선-동물 2</t>
  </si>
  <si>
    <t>영선-동물 3</t>
  </si>
  <si>
    <t>영선-동물 4</t>
  </si>
  <si>
    <t>영선-동물 5</t>
  </si>
  <si>
    <t>영선-동물 6</t>
  </si>
  <si>
    <t>영선-동물 7</t>
  </si>
  <si>
    <t>영선-동물 8</t>
  </si>
  <si>
    <t>영선-아기 1</t>
  </si>
  <si>
    <t>영선-아기 2</t>
  </si>
  <si>
    <t>영선-아기 3</t>
  </si>
  <si>
    <t>영선-아기 4</t>
  </si>
  <si>
    <t>영선-아기 5</t>
  </si>
  <si>
    <t>영선-아기 6</t>
  </si>
  <si>
    <t>영선-아기 7</t>
  </si>
  <si>
    <t>영선-캐릭터 1</t>
  </si>
  <si>
    <t>영선-캐릭터 2</t>
  </si>
  <si>
    <t>영선-캐릭터 3</t>
  </si>
  <si>
    <t>영선-캐릭터 4</t>
  </si>
  <si>
    <t>영선-캐릭터 5</t>
  </si>
  <si>
    <t>영선-캐릭터 6</t>
  </si>
  <si>
    <t>영선-캐릭터 7</t>
  </si>
  <si>
    <t>항목 | 이름</t>
  </si>
  <si>
    <t>예리</t>
  </si>
  <si>
    <t>mean</t>
  </si>
  <si>
    <t>예리-사무용품 1</t>
  </si>
  <si>
    <t>예리-사무용품 2</t>
  </si>
  <si>
    <t>예리-사무용품 3</t>
  </si>
  <si>
    <t>예리-사무용품 4</t>
  </si>
  <si>
    <t>예리-사무용품 5</t>
  </si>
  <si>
    <t>예리-사무용품 6</t>
  </si>
  <si>
    <t>예리-사무용품 7</t>
  </si>
  <si>
    <t>예리-생활용품 1</t>
  </si>
  <si>
    <t>예리-생활용품 2</t>
  </si>
  <si>
    <t>예리-생활용품 3</t>
  </si>
  <si>
    <t>예리-생활용품 4</t>
  </si>
  <si>
    <t>예리-생활용품 5</t>
  </si>
  <si>
    <t>예리-생활용품 6</t>
  </si>
  <si>
    <t>예리-생활용품 7</t>
  </si>
  <si>
    <t>예리-인테리어 1</t>
  </si>
  <si>
    <t>예리-인테리어 2</t>
  </si>
  <si>
    <t>예리-인테리어 3</t>
  </si>
  <si>
    <t>예리-인테리어 4</t>
  </si>
  <si>
    <t>예리-인테리어 5</t>
  </si>
  <si>
    <t>예리-인테리어 6</t>
  </si>
  <si>
    <t>예진-사무용품 1</t>
  </si>
  <si>
    <t>예진-사무용품 2</t>
  </si>
  <si>
    <t>예진-사무용품 3</t>
  </si>
  <si>
    <t>예진-사무용품 4</t>
  </si>
  <si>
    <t>예진-사무용품 5</t>
  </si>
  <si>
    <t>예진-사무용품 6</t>
  </si>
  <si>
    <t>예진-사무용품 7</t>
  </si>
  <si>
    <t>예진-사무용품 8</t>
  </si>
  <si>
    <t>예진-사무용품 9</t>
  </si>
  <si>
    <t>예진-생활용품 1</t>
  </si>
  <si>
    <t>예진-생활용품 2</t>
  </si>
  <si>
    <t>예진-생활용품 3</t>
  </si>
  <si>
    <t>예진-생활용품 4</t>
  </si>
  <si>
    <t>예진-생활용품 5</t>
  </si>
  <si>
    <t>예진-생활용품 6</t>
  </si>
  <si>
    <t>예진-생활용품 7</t>
  </si>
  <si>
    <t>예진-생활용품 8</t>
  </si>
  <si>
    <t>예진-인테리어 1</t>
  </si>
  <si>
    <t>예진-인테리어 2</t>
  </si>
  <si>
    <t>예진-인테리어 3</t>
  </si>
  <si>
    <t>웅년-사무용품 1</t>
  </si>
  <si>
    <t>웅년-사무용품 2</t>
  </si>
  <si>
    <t>웅년-사무용품 3</t>
  </si>
  <si>
    <t>웅년-사무용품 4</t>
  </si>
  <si>
    <t>웅년-사무용품 5</t>
  </si>
  <si>
    <t>웅년-사무용품 6</t>
  </si>
  <si>
    <t>웅년-생활용품 1</t>
  </si>
  <si>
    <t>웅년-생활용품 2</t>
  </si>
  <si>
    <t>웅년-생활용품 3</t>
  </si>
  <si>
    <t>웅년-생활용품 4</t>
  </si>
  <si>
    <t>웅년-생활용품 5</t>
  </si>
  <si>
    <t>웅년-생활용품 6</t>
  </si>
  <si>
    <t>웅년-생활용품 7</t>
  </si>
  <si>
    <t>웅년-생활용품 8</t>
  </si>
  <si>
    <t>웅년-인테리어 1</t>
  </si>
  <si>
    <t>웅년-인테리어 2</t>
  </si>
  <si>
    <t>웅년-인테리어 3</t>
  </si>
  <si>
    <t>웅년-인테리어 4</t>
  </si>
  <si>
    <t>웅년-인테리어 5</t>
  </si>
  <si>
    <t>웅년-인테리어 6</t>
  </si>
  <si>
    <t>주현-사무용품 1</t>
  </si>
  <si>
    <t>주현-사무용품 2</t>
  </si>
  <si>
    <t>주현-사무용품 3</t>
  </si>
  <si>
    <t>영선-사무용품 7과 중복</t>
  </si>
  <si>
    <t>주현-생활용품 1</t>
  </si>
  <si>
    <t>주현-생활용품 2</t>
  </si>
  <si>
    <t>주현-생활용품 3</t>
  </si>
  <si>
    <t>주현-생활용품 4</t>
  </si>
  <si>
    <t>주현-생활용품 5</t>
  </si>
  <si>
    <t>주현-생활용품 6</t>
  </si>
  <si>
    <t>주현-생활용품 7</t>
  </si>
  <si>
    <t>주현-생활용품 8</t>
  </si>
  <si>
    <t>주현-생활용품 9</t>
  </si>
  <si>
    <t>주현-생활용품 10</t>
  </si>
  <si>
    <t>주현-생활용품 11</t>
  </si>
  <si>
    <t>주현-생활용품 12</t>
  </si>
  <si>
    <t>주현-인테리어 1</t>
  </si>
  <si>
    <t>주현-인테리어 2</t>
  </si>
  <si>
    <t>주현-인테리어 3</t>
  </si>
  <si>
    <t>주현-인테리어 4</t>
  </si>
  <si>
    <t>주현-인테리어 5</t>
  </si>
  <si>
    <t>영선-사무용품 1</t>
  </si>
  <si>
    <t>영선-사무용품 2</t>
  </si>
  <si>
    <t>영선-사무용품 3</t>
  </si>
  <si>
    <t>영선-사무용품 4</t>
  </si>
  <si>
    <t>영선-사무용품 5</t>
  </si>
  <si>
    <t>영선-사무용품 6</t>
  </si>
  <si>
    <t>영선-사무용품 7</t>
  </si>
  <si>
    <t>주현-사무용품 3과 중복</t>
  </si>
  <si>
    <t>영선-생활용품 1</t>
  </si>
  <si>
    <t>영선-생활용품 2</t>
  </si>
  <si>
    <t>영선-생활용품 3</t>
  </si>
  <si>
    <t>영선-생활용품 4</t>
  </si>
  <si>
    <t>영선-생활용품 5</t>
  </si>
  <si>
    <t>영선-생활용품 6</t>
  </si>
  <si>
    <t>영선-생활용품 7</t>
  </si>
  <si>
    <t>영선-인테리어 1</t>
  </si>
  <si>
    <t>영선-인테리어 2</t>
  </si>
  <si>
    <t>영선-인테리어 3</t>
  </si>
  <si>
    <t>영선-인테리어 4</t>
  </si>
  <si>
    <t>영선-인테리어 5</t>
  </si>
  <si>
    <t>영선-인테리어 6</t>
  </si>
  <si>
    <t>영선-인테리어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</si>
</sst>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2.0"/>
      <color theme="1"/>
      <name val="Malgun Gothic"/>
    </font>
    <font>
      <color theme="1"/>
      <name val="Aptos Narrow"/>
      <scheme val="minor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2" fillId="0" fontId="1" numFmtId="0" xfId="0" applyAlignment="1" applyBorder="1" applyFont="1">
      <alignment horizontal="center" vertical="center"/>
    </xf>
    <xf borderId="0" fillId="0" fontId="3" numFmtId="0" xfId="0" applyAlignment="1" applyFont="1">
      <alignment readingOrder="0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11"/>
    <col customWidth="1" min="2" max="26" width="8.3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.0" customHeight="1">
      <c r="A2" s="2" t="s">
        <v>9</v>
      </c>
      <c r="B2" s="3"/>
      <c r="C2" s="4">
        <v>7.0</v>
      </c>
      <c r="D2" s="4">
        <v>7.0</v>
      </c>
      <c r="E2" s="4">
        <v>7.0</v>
      </c>
      <c r="F2" s="4">
        <v>7.0</v>
      </c>
      <c r="G2" s="4">
        <v>6.0</v>
      </c>
      <c r="H2" s="2">
        <f t="shared" ref="H2:H22" si="1">AVERAGE(C2:G2)</f>
        <v>6.8</v>
      </c>
      <c r="I2" s="2">
        <f t="shared" ref="I2:I22" si="2">STDEV(C2:G2)</f>
        <v>0.4472135955</v>
      </c>
    </row>
    <row r="3" ht="18.0" customHeight="1">
      <c r="A3" s="2" t="s">
        <v>10</v>
      </c>
      <c r="B3" s="5"/>
      <c r="C3" s="4">
        <v>7.0</v>
      </c>
      <c r="D3" s="4">
        <v>7.0</v>
      </c>
      <c r="E3" s="4">
        <v>7.0</v>
      </c>
      <c r="F3" s="4">
        <v>5.0</v>
      </c>
      <c r="G3" s="4">
        <v>6.0</v>
      </c>
      <c r="H3" s="2">
        <f t="shared" si="1"/>
        <v>6.4</v>
      </c>
      <c r="I3" s="2">
        <f t="shared" si="2"/>
        <v>0.894427191</v>
      </c>
    </row>
    <row r="4" ht="18.0" customHeight="1">
      <c r="A4" s="2" t="s">
        <v>11</v>
      </c>
      <c r="B4" s="5"/>
      <c r="C4" s="4">
        <v>6.0</v>
      </c>
      <c r="D4" s="4">
        <v>7.0</v>
      </c>
      <c r="E4" s="4">
        <v>7.0</v>
      </c>
      <c r="F4" s="4">
        <v>7.0</v>
      </c>
      <c r="G4" s="4">
        <v>7.0</v>
      </c>
      <c r="H4" s="2">
        <f t="shared" si="1"/>
        <v>6.8</v>
      </c>
      <c r="I4" s="2">
        <f t="shared" si="2"/>
        <v>0.4472135955</v>
      </c>
    </row>
    <row r="5" ht="18.0" customHeight="1">
      <c r="A5" s="2" t="s">
        <v>12</v>
      </c>
      <c r="B5" s="5"/>
      <c r="C5" s="4">
        <v>7.0</v>
      </c>
      <c r="D5" s="4">
        <v>7.0</v>
      </c>
      <c r="E5" s="4">
        <v>7.0</v>
      </c>
      <c r="F5" s="4">
        <v>5.0</v>
      </c>
      <c r="G5" s="4">
        <v>5.0</v>
      </c>
      <c r="H5" s="2">
        <f t="shared" si="1"/>
        <v>6.2</v>
      </c>
      <c r="I5" s="2">
        <f t="shared" si="2"/>
        <v>1.095445115</v>
      </c>
    </row>
    <row r="6" ht="18.0" customHeight="1">
      <c r="A6" s="2" t="s">
        <v>13</v>
      </c>
      <c r="B6" s="5"/>
      <c r="C6" s="4">
        <v>6.0</v>
      </c>
      <c r="D6" s="4">
        <v>5.0</v>
      </c>
      <c r="E6" s="4">
        <v>6.0</v>
      </c>
      <c r="F6" s="4">
        <v>5.0</v>
      </c>
      <c r="G6" s="4">
        <v>7.0</v>
      </c>
      <c r="H6" s="2">
        <f t="shared" si="1"/>
        <v>5.8</v>
      </c>
      <c r="I6" s="2">
        <f t="shared" si="2"/>
        <v>0.8366600265</v>
      </c>
    </row>
    <row r="7" ht="18.0" customHeight="1">
      <c r="A7" s="2" t="s">
        <v>14</v>
      </c>
      <c r="B7" s="5"/>
      <c r="C7" s="4">
        <v>6.0</v>
      </c>
      <c r="D7" s="4">
        <v>6.0</v>
      </c>
      <c r="E7" s="4">
        <v>7.0</v>
      </c>
      <c r="F7" s="4">
        <v>4.0</v>
      </c>
      <c r="G7" s="4">
        <v>5.0</v>
      </c>
      <c r="H7" s="2">
        <f t="shared" si="1"/>
        <v>5.6</v>
      </c>
      <c r="I7" s="2">
        <f t="shared" si="2"/>
        <v>1.140175425</v>
      </c>
    </row>
    <row r="8" ht="18.0" customHeight="1">
      <c r="A8" s="2" t="s">
        <v>15</v>
      </c>
      <c r="B8" s="5"/>
      <c r="C8" s="4">
        <v>7.0</v>
      </c>
      <c r="D8" s="4">
        <v>5.0</v>
      </c>
      <c r="E8" s="4">
        <v>6.0</v>
      </c>
      <c r="F8" s="4">
        <v>4.0</v>
      </c>
      <c r="G8" s="4">
        <v>6.0</v>
      </c>
      <c r="H8" s="2">
        <f t="shared" si="1"/>
        <v>5.6</v>
      </c>
      <c r="I8" s="2">
        <f t="shared" si="2"/>
        <v>1.140175425</v>
      </c>
    </row>
    <row r="9" ht="18.0" customHeight="1">
      <c r="A9" s="2" t="s">
        <v>16</v>
      </c>
      <c r="B9" s="5"/>
      <c r="C9" s="4">
        <v>7.0</v>
      </c>
      <c r="D9" s="4">
        <v>6.0</v>
      </c>
      <c r="E9" s="4">
        <v>7.0</v>
      </c>
      <c r="F9" s="4">
        <v>5.0</v>
      </c>
      <c r="G9" s="4">
        <v>6.0</v>
      </c>
      <c r="H9" s="2">
        <f t="shared" si="1"/>
        <v>6.2</v>
      </c>
      <c r="I9" s="2">
        <f t="shared" si="2"/>
        <v>0.8366600265</v>
      </c>
    </row>
    <row r="10" ht="18.0" customHeight="1">
      <c r="A10" s="2" t="s">
        <v>17</v>
      </c>
      <c r="B10" s="5"/>
      <c r="C10" s="4">
        <v>7.0</v>
      </c>
      <c r="D10" s="4">
        <v>5.0</v>
      </c>
      <c r="E10" s="4">
        <v>7.0</v>
      </c>
      <c r="F10" s="4">
        <v>5.0</v>
      </c>
      <c r="G10" s="4">
        <v>6.0</v>
      </c>
      <c r="H10" s="2">
        <f t="shared" si="1"/>
        <v>6</v>
      </c>
      <c r="I10" s="2">
        <f t="shared" si="2"/>
        <v>1</v>
      </c>
    </row>
    <row r="11" ht="18.0" customHeight="1">
      <c r="A11" s="2" t="s">
        <v>18</v>
      </c>
      <c r="B11" s="5"/>
      <c r="C11" s="4">
        <v>6.0</v>
      </c>
      <c r="D11" s="4">
        <v>6.0</v>
      </c>
      <c r="E11" s="4">
        <v>7.0</v>
      </c>
      <c r="F11" s="4">
        <v>5.0</v>
      </c>
      <c r="G11" s="4">
        <v>5.0</v>
      </c>
      <c r="H11" s="2">
        <f t="shared" si="1"/>
        <v>5.8</v>
      </c>
      <c r="I11" s="2">
        <f t="shared" si="2"/>
        <v>0.8366600265</v>
      </c>
    </row>
    <row r="12" ht="18.0" customHeight="1">
      <c r="A12" s="2" t="s">
        <v>19</v>
      </c>
      <c r="B12" s="5"/>
      <c r="C12" s="4">
        <v>6.0</v>
      </c>
      <c r="D12" s="4">
        <v>6.0</v>
      </c>
      <c r="E12" s="4">
        <v>7.0</v>
      </c>
      <c r="F12" s="4">
        <v>5.0</v>
      </c>
      <c r="G12" s="4">
        <v>6.0</v>
      </c>
      <c r="H12" s="2">
        <f t="shared" si="1"/>
        <v>6</v>
      </c>
      <c r="I12" s="2">
        <f t="shared" si="2"/>
        <v>0.7071067812</v>
      </c>
    </row>
    <row r="13" ht="18.0" customHeight="1">
      <c r="A13" s="2" t="s">
        <v>20</v>
      </c>
      <c r="B13" s="5"/>
      <c r="C13" s="4">
        <v>6.0</v>
      </c>
      <c r="D13" s="4">
        <v>6.0</v>
      </c>
      <c r="E13" s="4">
        <v>6.0</v>
      </c>
      <c r="F13" s="4">
        <v>5.0</v>
      </c>
      <c r="G13" s="4">
        <v>6.0</v>
      </c>
      <c r="H13" s="2">
        <f t="shared" si="1"/>
        <v>5.8</v>
      </c>
      <c r="I13" s="2">
        <f t="shared" si="2"/>
        <v>0.4472135955</v>
      </c>
    </row>
    <row r="14" ht="18.0" customHeight="1">
      <c r="A14" s="2" t="s">
        <v>21</v>
      </c>
      <c r="B14" s="5"/>
      <c r="C14" s="4">
        <v>5.0</v>
      </c>
      <c r="D14" s="4">
        <v>4.0</v>
      </c>
      <c r="E14" s="4">
        <v>7.0</v>
      </c>
      <c r="F14" s="4">
        <v>5.0</v>
      </c>
      <c r="G14" s="4">
        <v>5.0</v>
      </c>
      <c r="H14" s="2">
        <f t="shared" si="1"/>
        <v>5.2</v>
      </c>
      <c r="I14" s="2">
        <f t="shared" si="2"/>
        <v>1.095445115</v>
      </c>
    </row>
    <row r="15" ht="18.0" customHeight="1">
      <c r="A15" s="2" t="s">
        <v>22</v>
      </c>
      <c r="B15" s="5"/>
      <c r="C15" s="4">
        <v>7.0</v>
      </c>
      <c r="D15" s="4">
        <v>6.0</v>
      </c>
      <c r="E15" s="4">
        <v>7.0</v>
      </c>
      <c r="F15" s="4">
        <v>6.0</v>
      </c>
      <c r="G15" s="4">
        <v>5.0</v>
      </c>
      <c r="H15" s="2">
        <f t="shared" si="1"/>
        <v>6.2</v>
      </c>
      <c r="I15" s="2">
        <f t="shared" si="2"/>
        <v>0.8366600265</v>
      </c>
    </row>
    <row r="16" ht="18.0" customHeight="1">
      <c r="A16" s="2" t="s">
        <v>23</v>
      </c>
      <c r="B16" s="5"/>
      <c r="C16" s="4">
        <v>5.0</v>
      </c>
      <c r="D16" s="4">
        <v>5.0</v>
      </c>
      <c r="E16" s="4">
        <v>4.0</v>
      </c>
      <c r="F16" s="4">
        <v>4.0</v>
      </c>
      <c r="G16" s="4">
        <v>5.0</v>
      </c>
      <c r="H16" s="2">
        <f t="shared" si="1"/>
        <v>4.6</v>
      </c>
      <c r="I16" s="2">
        <f t="shared" si="2"/>
        <v>0.5477225575</v>
      </c>
    </row>
    <row r="17" ht="18.0" customHeight="1">
      <c r="A17" s="2" t="s">
        <v>24</v>
      </c>
      <c r="B17" s="5"/>
      <c r="C17" s="4">
        <v>5.0</v>
      </c>
      <c r="D17" s="4">
        <v>4.0</v>
      </c>
      <c r="E17" s="4">
        <v>5.0</v>
      </c>
      <c r="F17" s="4">
        <v>4.0</v>
      </c>
      <c r="G17" s="4">
        <v>4.0</v>
      </c>
      <c r="H17" s="2">
        <f t="shared" si="1"/>
        <v>4.4</v>
      </c>
      <c r="I17" s="2">
        <f t="shared" si="2"/>
        <v>0.5477225575</v>
      </c>
    </row>
    <row r="18" ht="18.0" customHeight="1">
      <c r="A18" s="2" t="s">
        <v>25</v>
      </c>
      <c r="B18" s="5"/>
      <c r="C18" s="4">
        <v>6.0</v>
      </c>
      <c r="D18" s="4">
        <v>4.0</v>
      </c>
      <c r="E18" s="4">
        <v>6.0</v>
      </c>
      <c r="F18" s="4">
        <v>4.0</v>
      </c>
      <c r="G18" s="4">
        <v>5.0</v>
      </c>
      <c r="H18" s="2">
        <f t="shared" si="1"/>
        <v>5</v>
      </c>
      <c r="I18" s="2">
        <f t="shared" si="2"/>
        <v>1</v>
      </c>
    </row>
    <row r="19" ht="18.0" customHeight="1">
      <c r="A19" s="2" t="s">
        <v>26</v>
      </c>
      <c r="B19" s="5"/>
      <c r="C19" s="4">
        <v>7.0</v>
      </c>
      <c r="D19" s="4">
        <v>3.0</v>
      </c>
      <c r="E19" s="4">
        <v>6.0</v>
      </c>
      <c r="F19" s="4">
        <v>5.0</v>
      </c>
      <c r="G19" s="4">
        <v>6.0</v>
      </c>
      <c r="H19" s="2">
        <f t="shared" si="1"/>
        <v>5.4</v>
      </c>
      <c r="I19" s="2">
        <f t="shared" si="2"/>
        <v>1.516575089</v>
      </c>
    </row>
    <row r="20" ht="18.0" customHeight="1">
      <c r="A20" s="2" t="s">
        <v>27</v>
      </c>
      <c r="B20" s="5"/>
      <c r="C20" s="4">
        <v>6.0</v>
      </c>
      <c r="D20" s="4">
        <v>3.0</v>
      </c>
      <c r="E20" s="4">
        <v>3.0</v>
      </c>
      <c r="F20" s="4">
        <v>3.0</v>
      </c>
      <c r="G20" s="4">
        <v>6.0</v>
      </c>
      <c r="H20" s="2">
        <f t="shared" si="1"/>
        <v>4.2</v>
      </c>
      <c r="I20" s="2">
        <f t="shared" si="2"/>
        <v>1.643167673</v>
      </c>
    </row>
    <row r="21" ht="18.0" customHeight="1">
      <c r="A21" s="2" t="s">
        <v>28</v>
      </c>
      <c r="B21" s="5"/>
      <c r="C21" s="4">
        <v>5.0</v>
      </c>
      <c r="D21" s="4">
        <v>3.0</v>
      </c>
      <c r="E21" s="4">
        <v>4.0</v>
      </c>
      <c r="F21" s="4">
        <v>4.0</v>
      </c>
      <c r="G21" s="4">
        <v>6.0</v>
      </c>
      <c r="H21" s="2">
        <f t="shared" si="1"/>
        <v>4.4</v>
      </c>
      <c r="I21" s="2">
        <f t="shared" si="2"/>
        <v>1.140175425</v>
      </c>
    </row>
    <row r="22" ht="18.0" customHeight="1">
      <c r="A22" s="2" t="s">
        <v>29</v>
      </c>
      <c r="B22" s="6"/>
      <c r="C22" s="4">
        <v>5.0</v>
      </c>
      <c r="D22" s="4">
        <v>3.0</v>
      </c>
      <c r="E22" s="4">
        <v>5.0</v>
      </c>
      <c r="F22" s="4">
        <v>4.0</v>
      </c>
      <c r="G22" s="4">
        <v>5.0</v>
      </c>
      <c r="H22" s="2">
        <f t="shared" si="1"/>
        <v>4.4</v>
      </c>
      <c r="I22" s="2">
        <f t="shared" si="2"/>
        <v>0.894427191</v>
      </c>
    </row>
    <row r="23" ht="18.0" customHeight="1">
      <c r="A23" s="2" t="s">
        <v>30</v>
      </c>
      <c r="B23" s="4">
        <v>4.0</v>
      </c>
      <c r="C23" s="3"/>
      <c r="D23" s="4">
        <v>4.0</v>
      </c>
      <c r="E23" s="4">
        <v>5.0</v>
      </c>
      <c r="F23" s="4">
        <v>4.0</v>
      </c>
      <c r="G23" s="4">
        <v>4.0</v>
      </c>
      <c r="H23" s="2">
        <f t="shared" ref="H23:H42" si="3">AVERAGE(B23,D23:G23)</f>
        <v>4.2</v>
      </c>
      <c r="I23" s="2">
        <f t="shared" ref="I23:I42" si="4">STDEV(B23,D23:G23)</f>
        <v>0.4472135955</v>
      </c>
    </row>
    <row r="24" ht="18.0" customHeight="1">
      <c r="A24" s="2" t="s">
        <v>31</v>
      </c>
      <c r="B24" s="4">
        <v>6.0</v>
      </c>
      <c r="C24" s="5"/>
      <c r="D24" s="4">
        <v>5.0</v>
      </c>
      <c r="E24" s="4">
        <v>4.0</v>
      </c>
      <c r="F24" s="4">
        <v>5.0</v>
      </c>
      <c r="G24" s="4">
        <v>5.0</v>
      </c>
      <c r="H24" s="2">
        <f t="shared" si="3"/>
        <v>5</v>
      </c>
      <c r="I24" s="2">
        <f t="shared" si="4"/>
        <v>0.7071067812</v>
      </c>
    </row>
    <row r="25" ht="18.0" customHeight="1">
      <c r="A25" s="2" t="s">
        <v>32</v>
      </c>
      <c r="B25" s="4">
        <v>4.0</v>
      </c>
      <c r="C25" s="5"/>
      <c r="D25" s="4">
        <v>6.0</v>
      </c>
      <c r="E25" s="4">
        <v>4.0</v>
      </c>
      <c r="F25" s="4">
        <v>6.0</v>
      </c>
      <c r="G25" s="4">
        <v>6.0</v>
      </c>
      <c r="H25" s="2">
        <f t="shared" si="3"/>
        <v>5.2</v>
      </c>
      <c r="I25" s="2">
        <f t="shared" si="4"/>
        <v>1.095445115</v>
      </c>
    </row>
    <row r="26" ht="18.0" customHeight="1">
      <c r="A26" s="2" t="s">
        <v>33</v>
      </c>
      <c r="B26" s="4">
        <v>5.0</v>
      </c>
      <c r="C26" s="5"/>
      <c r="D26" s="4">
        <v>5.0</v>
      </c>
      <c r="E26" s="4">
        <v>4.0</v>
      </c>
      <c r="F26" s="4">
        <v>4.0</v>
      </c>
      <c r="G26" s="4">
        <v>4.0</v>
      </c>
      <c r="H26" s="2">
        <f t="shared" si="3"/>
        <v>4.4</v>
      </c>
      <c r="I26" s="2">
        <f t="shared" si="4"/>
        <v>0.5477225575</v>
      </c>
    </row>
    <row r="27" ht="18.0" customHeight="1">
      <c r="A27" s="2" t="s">
        <v>34</v>
      </c>
      <c r="B27" s="4">
        <v>4.0</v>
      </c>
      <c r="C27" s="5"/>
      <c r="D27" s="4">
        <v>5.0</v>
      </c>
      <c r="E27" s="4">
        <v>6.0</v>
      </c>
      <c r="F27" s="4">
        <v>5.0</v>
      </c>
      <c r="G27" s="4">
        <v>3.0</v>
      </c>
      <c r="H27" s="2">
        <f t="shared" si="3"/>
        <v>4.6</v>
      </c>
      <c r="I27" s="2">
        <f t="shared" si="4"/>
        <v>1.140175425</v>
      </c>
    </row>
    <row r="28" ht="18.0" customHeight="1">
      <c r="A28" s="2" t="s">
        <v>35</v>
      </c>
      <c r="B28" s="4">
        <v>5.0</v>
      </c>
      <c r="C28" s="5"/>
      <c r="D28" s="4">
        <v>4.0</v>
      </c>
      <c r="E28" s="4">
        <v>3.0</v>
      </c>
      <c r="F28" s="4">
        <v>3.0</v>
      </c>
      <c r="G28" s="4">
        <v>3.0</v>
      </c>
      <c r="H28" s="2">
        <f t="shared" si="3"/>
        <v>3.6</v>
      </c>
      <c r="I28" s="2">
        <f t="shared" si="4"/>
        <v>0.894427191</v>
      </c>
    </row>
    <row r="29" ht="18.0" customHeight="1">
      <c r="A29" s="2" t="s">
        <v>36</v>
      </c>
      <c r="B29" s="4">
        <v>6.0</v>
      </c>
      <c r="C29" s="5"/>
      <c r="D29" s="4">
        <v>6.0</v>
      </c>
      <c r="E29" s="4">
        <v>7.0</v>
      </c>
      <c r="F29" s="4">
        <v>3.0</v>
      </c>
      <c r="G29" s="4">
        <v>5.0</v>
      </c>
      <c r="H29" s="2">
        <f t="shared" si="3"/>
        <v>5.4</v>
      </c>
      <c r="I29" s="2">
        <f t="shared" si="4"/>
        <v>1.516575089</v>
      </c>
    </row>
    <row r="30" ht="18.0" customHeight="1">
      <c r="A30" s="2" t="s">
        <v>37</v>
      </c>
      <c r="B30" s="4">
        <v>4.0</v>
      </c>
      <c r="C30" s="5"/>
      <c r="D30" s="4">
        <v>3.0</v>
      </c>
      <c r="E30" s="4">
        <v>4.0</v>
      </c>
      <c r="F30" s="4">
        <v>6.0</v>
      </c>
      <c r="G30" s="4">
        <v>4.0</v>
      </c>
      <c r="H30" s="2">
        <f t="shared" si="3"/>
        <v>4.2</v>
      </c>
      <c r="I30" s="2">
        <f t="shared" si="4"/>
        <v>1.095445115</v>
      </c>
    </row>
    <row r="31" ht="18.0" customHeight="1">
      <c r="A31" s="2" t="s">
        <v>38</v>
      </c>
      <c r="B31" s="4">
        <v>4.0</v>
      </c>
      <c r="C31" s="5"/>
      <c r="D31" s="4">
        <v>3.0</v>
      </c>
      <c r="E31" s="4">
        <v>3.0</v>
      </c>
      <c r="F31" s="4">
        <v>4.0</v>
      </c>
      <c r="G31" s="4">
        <v>5.0</v>
      </c>
      <c r="H31" s="2">
        <f t="shared" si="3"/>
        <v>3.8</v>
      </c>
      <c r="I31" s="2">
        <f t="shared" si="4"/>
        <v>0.8366600265</v>
      </c>
    </row>
    <row r="32" ht="18.0" customHeight="1">
      <c r="A32" s="2" t="s">
        <v>39</v>
      </c>
      <c r="B32" s="4">
        <v>7.0</v>
      </c>
      <c r="C32" s="5"/>
      <c r="D32" s="4">
        <v>6.0</v>
      </c>
      <c r="E32" s="4">
        <v>6.0</v>
      </c>
      <c r="F32" s="4">
        <v>4.0</v>
      </c>
      <c r="G32" s="4">
        <v>4.0</v>
      </c>
      <c r="H32" s="2">
        <f t="shared" si="3"/>
        <v>5.4</v>
      </c>
      <c r="I32" s="2">
        <f t="shared" si="4"/>
        <v>1.341640786</v>
      </c>
    </row>
    <row r="33" ht="18.0" customHeight="1">
      <c r="A33" s="2" t="s">
        <v>40</v>
      </c>
      <c r="B33" s="4">
        <v>5.0</v>
      </c>
      <c r="C33" s="5"/>
      <c r="D33" s="4">
        <v>5.0</v>
      </c>
      <c r="E33" s="4">
        <v>5.0</v>
      </c>
      <c r="F33" s="4">
        <v>4.0</v>
      </c>
      <c r="G33" s="4">
        <v>3.0</v>
      </c>
      <c r="H33" s="2">
        <f t="shared" si="3"/>
        <v>4.4</v>
      </c>
      <c r="I33" s="2">
        <f t="shared" si="4"/>
        <v>0.894427191</v>
      </c>
    </row>
    <row r="34" ht="18.0" customHeight="1">
      <c r="A34" s="2" t="s">
        <v>41</v>
      </c>
      <c r="B34" s="4">
        <v>4.0</v>
      </c>
      <c r="C34" s="5"/>
      <c r="D34" s="4">
        <v>5.0</v>
      </c>
      <c r="E34" s="4">
        <v>6.0</v>
      </c>
      <c r="F34" s="4">
        <v>4.0</v>
      </c>
      <c r="G34" s="4">
        <v>4.0</v>
      </c>
      <c r="H34" s="2">
        <f t="shared" si="3"/>
        <v>4.6</v>
      </c>
      <c r="I34" s="2">
        <f t="shared" si="4"/>
        <v>0.894427191</v>
      </c>
    </row>
    <row r="35" ht="18.0" customHeight="1">
      <c r="A35" s="2" t="s">
        <v>42</v>
      </c>
      <c r="B35" s="4">
        <v>4.0</v>
      </c>
      <c r="C35" s="5"/>
      <c r="D35" s="4">
        <v>5.0</v>
      </c>
      <c r="E35" s="4">
        <v>7.0</v>
      </c>
      <c r="F35" s="4">
        <v>4.0</v>
      </c>
      <c r="G35" s="4">
        <v>4.0</v>
      </c>
      <c r="H35" s="2">
        <f t="shared" si="3"/>
        <v>4.8</v>
      </c>
      <c r="I35" s="2">
        <f t="shared" si="4"/>
        <v>1.303840481</v>
      </c>
    </row>
    <row r="36" ht="18.0" customHeight="1">
      <c r="A36" s="2" t="s">
        <v>43</v>
      </c>
      <c r="B36" s="4">
        <v>6.0</v>
      </c>
      <c r="C36" s="5"/>
      <c r="D36" s="4">
        <v>6.0</v>
      </c>
      <c r="E36" s="4">
        <v>6.0</v>
      </c>
      <c r="F36" s="4">
        <v>4.0</v>
      </c>
      <c r="G36" s="4">
        <v>4.0</v>
      </c>
      <c r="H36" s="2">
        <f t="shared" si="3"/>
        <v>5.2</v>
      </c>
      <c r="I36" s="2">
        <f t="shared" si="4"/>
        <v>1.095445115</v>
      </c>
    </row>
    <row r="37" ht="18.0" customHeight="1">
      <c r="A37" s="2" t="s">
        <v>44</v>
      </c>
      <c r="B37" s="4">
        <v>3.0</v>
      </c>
      <c r="C37" s="5"/>
      <c r="D37" s="4">
        <v>6.0</v>
      </c>
      <c r="E37" s="4">
        <v>5.0</v>
      </c>
      <c r="F37" s="4">
        <v>5.0</v>
      </c>
      <c r="G37" s="4">
        <v>5.0</v>
      </c>
      <c r="H37" s="2">
        <f t="shared" si="3"/>
        <v>4.8</v>
      </c>
      <c r="I37" s="2">
        <f t="shared" si="4"/>
        <v>1.095445115</v>
      </c>
    </row>
    <row r="38" ht="18.0" customHeight="1">
      <c r="A38" s="2" t="s">
        <v>45</v>
      </c>
      <c r="B38" s="4">
        <v>4.0</v>
      </c>
      <c r="C38" s="5"/>
      <c r="D38" s="4">
        <v>3.0</v>
      </c>
      <c r="E38" s="4">
        <v>4.0</v>
      </c>
      <c r="F38" s="4">
        <v>5.0</v>
      </c>
      <c r="G38" s="4">
        <v>5.0</v>
      </c>
      <c r="H38" s="2">
        <f t="shared" si="3"/>
        <v>4.2</v>
      </c>
      <c r="I38" s="2">
        <f t="shared" si="4"/>
        <v>0.8366600265</v>
      </c>
    </row>
    <row r="39" ht="18.0" customHeight="1">
      <c r="A39" s="2" t="s">
        <v>46</v>
      </c>
      <c r="B39" s="4">
        <v>5.0</v>
      </c>
      <c r="C39" s="5"/>
      <c r="D39" s="4">
        <v>4.0</v>
      </c>
      <c r="E39" s="4">
        <v>5.0</v>
      </c>
      <c r="F39" s="4">
        <v>4.0</v>
      </c>
      <c r="G39" s="4">
        <v>4.0</v>
      </c>
      <c r="H39" s="2">
        <f t="shared" si="3"/>
        <v>4.4</v>
      </c>
      <c r="I39" s="2">
        <f t="shared" si="4"/>
        <v>0.5477225575</v>
      </c>
    </row>
    <row r="40" ht="18.0" customHeight="1">
      <c r="A40" s="2" t="s">
        <v>47</v>
      </c>
      <c r="B40" s="4">
        <v>4.0</v>
      </c>
      <c r="C40" s="5"/>
      <c r="D40" s="4">
        <v>4.0</v>
      </c>
      <c r="E40" s="4">
        <v>5.0</v>
      </c>
      <c r="F40" s="4">
        <v>4.0</v>
      </c>
      <c r="G40" s="4">
        <v>4.0</v>
      </c>
      <c r="H40" s="2">
        <f t="shared" si="3"/>
        <v>4.2</v>
      </c>
      <c r="I40" s="2">
        <f t="shared" si="4"/>
        <v>0.4472135955</v>
      </c>
    </row>
    <row r="41" ht="18.0" customHeight="1">
      <c r="A41" s="2" t="s">
        <v>48</v>
      </c>
      <c r="B41" s="4">
        <v>3.0</v>
      </c>
      <c r="C41" s="5"/>
      <c r="D41" s="4">
        <v>4.0</v>
      </c>
      <c r="E41" s="4">
        <v>3.0</v>
      </c>
      <c r="F41" s="4">
        <v>3.0</v>
      </c>
      <c r="G41" s="4">
        <v>4.0</v>
      </c>
      <c r="H41" s="2">
        <f t="shared" si="3"/>
        <v>3.4</v>
      </c>
      <c r="I41" s="2">
        <f t="shared" si="4"/>
        <v>0.5477225575</v>
      </c>
    </row>
    <row r="42" ht="18.0" customHeight="1">
      <c r="A42" s="2" t="s">
        <v>49</v>
      </c>
      <c r="B42" s="4">
        <v>2.0</v>
      </c>
      <c r="C42" s="6"/>
      <c r="D42" s="4">
        <v>3.0</v>
      </c>
      <c r="E42" s="4">
        <v>3.0</v>
      </c>
      <c r="F42" s="4">
        <v>5.0</v>
      </c>
      <c r="G42" s="4">
        <v>3.0</v>
      </c>
      <c r="H42" s="2">
        <f t="shared" si="3"/>
        <v>3.2</v>
      </c>
      <c r="I42" s="2">
        <f t="shared" si="4"/>
        <v>1.095445115</v>
      </c>
    </row>
    <row r="43" ht="18.0" customHeight="1">
      <c r="A43" s="2" t="s">
        <v>50</v>
      </c>
      <c r="B43" s="4">
        <v>4.0</v>
      </c>
      <c r="C43" s="4">
        <v>7.0</v>
      </c>
      <c r="D43" s="3"/>
      <c r="E43" s="4">
        <v>3.0</v>
      </c>
      <c r="F43" s="4">
        <v>3.0</v>
      </c>
      <c r="G43" s="4">
        <v>6.0</v>
      </c>
      <c r="H43" s="2">
        <f t="shared" ref="H43:H55" si="5">AVERAGE(B43:C43,E43:G43)</f>
        <v>4.6</v>
      </c>
      <c r="I43" s="2">
        <f t="shared" ref="I43:I62" si="6">STDEV(B43:C43,E43:G43)</f>
        <v>1.816590212</v>
      </c>
    </row>
    <row r="44" ht="18.0" customHeight="1">
      <c r="A44" s="2" t="s">
        <v>51</v>
      </c>
      <c r="B44" s="4">
        <v>5.0</v>
      </c>
      <c r="C44" s="4">
        <v>5.0</v>
      </c>
      <c r="D44" s="5"/>
      <c r="E44" s="4">
        <v>6.0</v>
      </c>
      <c r="F44" s="4">
        <v>4.0</v>
      </c>
      <c r="G44" s="4">
        <v>5.0</v>
      </c>
      <c r="H44" s="2">
        <f t="shared" si="5"/>
        <v>5</v>
      </c>
      <c r="I44" s="2">
        <f t="shared" si="6"/>
        <v>0.7071067812</v>
      </c>
    </row>
    <row r="45" ht="18.0" customHeight="1">
      <c r="A45" s="2" t="s">
        <v>52</v>
      </c>
      <c r="B45" s="4">
        <v>7.0</v>
      </c>
      <c r="C45" s="4">
        <v>6.0</v>
      </c>
      <c r="D45" s="5"/>
      <c r="E45" s="4">
        <v>7.0</v>
      </c>
      <c r="F45" s="4">
        <v>6.0</v>
      </c>
      <c r="G45" s="4">
        <v>6.0</v>
      </c>
      <c r="H45" s="2">
        <f t="shared" si="5"/>
        <v>6.4</v>
      </c>
      <c r="I45" s="2">
        <f t="shared" si="6"/>
        <v>0.5477225575</v>
      </c>
    </row>
    <row r="46" ht="18.0" customHeight="1">
      <c r="A46" s="2" t="s">
        <v>53</v>
      </c>
      <c r="B46" s="4">
        <v>6.0</v>
      </c>
      <c r="C46" s="4">
        <v>7.0</v>
      </c>
      <c r="D46" s="5"/>
      <c r="E46" s="4">
        <v>7.0</v>
      </c>
      <c r="F46" s="4">
        <v>7.0</v>
      </c>
      <c r="G46" s="4">
        <v>5.0</v>
      </c>
      <c r="H46" s="2">
        <f t="shared" si="5"/>
        <v>6.4</v>
      </c>
      <c r="I46" s="2">
        <f t="shared" si="6"/>
        <v>0.894427191</v>
      </c>
    </row>
    <row r="47" ht="18.0" customHeight="1">
      <c r="A47" s="2" t="s">
        <v>54</v>
      </c>
      <c r="B47" s="4">
        <v>7.0</v>
      </c>
      <c r="C47" s="4">
        <v>7.0</v>
      </c>
      <c r="D47" s="5"/>
      <c r="E47" s="4">
        <v>5.0</v>
      </c>
      <c r="F47" s="4">
        <v>3.0</v>
      </c>
      <c r="G47" s="4">
        <v>4.0</v>
      </c>
      <c r="H47" s="2">
        <f t="shared" si="5"/>
        <v>5.2</v>
      </c>
      <c r="I47" s="2">
        <f t="shared" si="6"/>
        <v>1.788854382</v>
      </c>
    </row>
    <row r="48" ht="18.0" customHeight="1">
      <c r="A48" s="2" t="s">
        <v>55</v>
      </c>
      <c r="B48" s="4">
        <v>5.0</v>
      </c>
      <c r="C48" s="4">
        <v>6.0</v>
      </c>
      <c r="D48" s="5"/>
      <c r="E48" s="4">
        <v>6.0</v>
      </c>
      <c r="F48" s="4">
        <v>4.0</v>
      </c>
      <c r="G48" s="4">
        <v>4.0</v>
      </c>
      <c r="H48" s="2">
        <f t="shared" si="5"/>
        <v>5</v>
      </c>
      <c r="I48" s="2">
        <f t="shared" si="6"/>
        <v>1</v>
      </c>
    </row>
    <row r="49" ht="18.0" customHeight="1">
      <c r="A49" s="2" t="s">
        <v>56</v>
      </c>
      <c r="B49" s="4">
        <v>5.0</v>
      </c>
      <c r="C49" s="4">
        <v>6.0</v>
      </c>
      <c r="D49" s="5"/>
      <c r="E49" s="4">
        <v>6.0</v>
      </c>
      <c r="F49" s="4">
        <v>6.0</v>
      </c>
      <c r="G49" s="4">
        <v>4.0</v>
      </c>
      <c r="H49" s="2">
        <f t="shared" si="5"/>
        <v>5.4</v>
      </c>
      <c r="I49" s="2">
        <f t="shared" si="6"/>
        <v>0.894427191</v>
      </c>
    </row>
    <row r="50" ht="18.0" customHeight="1">
      <c r="A50" s="2" t="s">
        <v>57</v>
      </c>
      <c r="B50" s="4">
        <v>7.0</v>
      </c>
      <c r="C50" s="4">
        <v>5.0</v>
      </c>
      <c r="D50" s="5"/>
      <c r="E50" s="4">
        <v>5.0</v>
      </c>
      <c r="F50" s="4">
        <v>5.0</v>
      </c>
      <c r="G50" s="4">
        <v>4.0</v>
      </c>
      <c r="H50" s="2">
        <f t="shared" si="5"/>
        <v>5.2</v>
      </c>
      <c r="I50" s="2">
        <f t="shared" si="6"/>
        <v>1.095445115</v>
      </c>
    </row>
    <row r="51" ht="18.0" customHeight="1">
      <c r="A51" s="2" t="s">
        <v>58</v>
      </c>
      <c r="B51" s="4">
        <v>6.0</v>
      </c>
      <c r="C51" s="4">
        <v>4.0</v>
      </c>
      <c r="D51" s="5"/>
      <c r="E51" s="4">
        <v>5.0</v>
      </c>
      <c r="F51" s="4">
        <v>4.0</v>
      </c>
      <c r="G51" s="4">
        <v>4.0</v>
      </c>
      <c r="H51" s="2">
        <f t="shared" si="5"/>
        <v>4.6</v>
      </c>
      <c r="I51" s="2">
        <f t="shared" si="6"/>
        <v>0.894427191</v>
      </c>
    </row>
    <row r="52" ht="18.0" customHeight="1">
      <c r="A52" s="2" t="s">
        <v>59</v>
      </c>
      <c r="B52" s="4">
        <v>6.0</v>
      </c>
      <c r="C52" s="4">
        <v>5.0</v>
      </c>
      <c r="D52" s="5"/>
      <c r="E52" s="4">
        <v>5.0</v>
      </c>
      <c r="F52" s="4">
        <v>6.0</v>
      </c>
      <c r="G52" s="4">
        <v>5.0</v>
      </c>
      <c r="H52" s="2">
        <f t="shared" si="5"/>
        <v>5.4</v>
      </c>
      <c r="I52" s="2">
        <f t="shared" si="6"/>
        <v>0.5477225575</v>
      </c>
    </row>
    <row r="53" ht="18.0" customHeight="1">
      <c r="A53" s="2" t="s">
        <v>60</v>
      </c>
      <c r="B53" s="4">
        <v>3.0</v>
      </c>
      <c r="C53" s="4">
        <v>4.0</v>
      </c>
      <c r="D53" s="5"/>
      <c r="E53" s="4">
        <v>4.0</v>
      </c>
      <c r="F53" s="4">
        <v>3.0</v>
      </c>
      <c r="G53" s="4">
        <v>4.0</v>
      </c>
      <c r="H53" s="2">
        <f t="shared" si="5"/>
        <v>3.6</v>
      </c>
      <c r="I53" s="2">
        <f t="shared" si="6"/>
        <v>0.5477225575</v>
      </c>
    </row>
    <row r="54" ht="18.0" customHeight="1">
      <c r="A54" s="2" t="s">
        <v>61</v>
      </c>
      <c r="B54" s="4">
        <v>7.0</v>
      </c>
      <c r="C54" s="4">
        <v>6.0</v>
      </c>
      <c r="D54" s="5"/>
      <c r="E54" s="4">
        <v>6.0</v>
      </c>
      <c r="F54" s="4">
        <v>4.0</v>
      </c>
      <c r="G54" s="4">
        <v>4.0</v>
      </c>
      <c r="H54" s="2">
        <f t="shared" si="5"/>
        <v>5.4</v>
      </c>
      <c r="I54" s="2">
        <f t="shared" si="6"/>
        <v>1.341640786</v>
      </c>
    </row>
    <row r="55" ht="18.0" customHeight="1">
      <c r="A55" s="2" t="s">
        <v>62</v>
      </c>
      <c r="B55" s="4">
        <v>5.0</v>
      </c>
      <c r="C55" s="4">
        <v>6.0</v>
      </c>
      <c r="D55" s="5"/>
      <c r="E55" s="4">
        <v>6.0</v>
      </c>
      <c r="F55" s="4">
        <v>5.0</v>
      </c>
      <c r="G55" s="4">
        <v>4.0</v>
      </c>
      <c r="H55" s="2">
        <f t="shared" si="5"/>
        <v>5.2</v>
      </c>
      <c r="I55" s="2">
        <f t="shared" si="6"/>
        <v>0.8366600265</v>
      </c>
    </row>
    <row r="56" ht="18.0" customHeight="1">
      <c r="A56" s="4" t="s">
        <v>63</v>
      </c>
      <c r="B56" s="4">
        <v>7.0</v>
      </c>
      <c r="C56" s="4">
        <v>7.0</v>
      </c>
      <c r="D56" s="5"/>
      <c r="E56" s="4">
        <v>6.0</v>
      </c>
      <c r="F56" s="4">
        <v>6.0</v>
      </c>
      <c r="G56" s="4">
        <v>4.0</v>
      </c>
      <c r="H56" s="2">
        <f>AVERAGE(B56,C56,E56,F56,G56)</f>
        <v>6</v>
      </c>
      <c r="I56" s="2">
        <f t="shared" si="6"/>
        <v>1.224744871</v>
      </c>
    </row>
    <row r="57" ht="18.0" customHeight="1">
      <c r="A57" s="2" t="s">
        <v>64</v>
      </c>
      <c r="B57" s="4">
        <v>3.0</v>
      </c>
      <c r="C57" s="4">
        <v>6.0</v>
      </c>
      <c r="D57" s="5"/>
      <c r="E57" s="4">
        <v>5.0</v>
      </c>
      <c r="F57" s="4">
        <v>5.0</v>
      </c>
      <c r="G57" s="4">
        <v>4.0</v>
      </c>
      <c r="H57" s="2">
        <f t="shared" ref="H57:H62" si="7">AVERAGE(B57:C57,E57:G57)</f>
        <v>4.6</v>
      </c>
      <c r="I57" s="2">
        <f t="shared" si="6"/>
        <v>1.140175425</v>
      </c>
    </row>
    <row r="58" ht="18.0" customHeight="1">
      <c r="A58" s="2" t="s">
        <v>65</v>
      </c>
      <c r="B58" s="4">
        <v>3.0</v>
      </c>
      <c r="C58" s="4">
        <v>5.0</v>
      </c>
      <c r="D58" s="5"/>
      <c r="E58" s="4">
        <v>5.0</v>
      </c>
      <c r="F58" s="4">
        <v>5.0</v>
      </c>
      <c r="G58" s="4">
        <v>4.0</v>
      </c>
      <c r="H58" s="2">
        <f t="shared" si="7"/>
        <v>4.4</v>
      </c>
      <c r="I58" s="2">
        <f t="shared" si="6"/>
        <v>0.894427191</v>
      </c>
    </row>
    <row r="59" ht="18.0" customHeight="1">
      <c r="A59" s="2" t="s">
        <v>66</v>
      </c>
      <c r="B59" s="4">
        <v>2.0</v>
      </c>
      <c r="C59" s="4">
        <v>4.0</v>
      </c>
      <c r="D59" s="5"/>
      <c r="E59" s="4">
        <v>5.0</v>
      </c>
      <c r="F59" s="4">
        <v>3.0</v>
      </c>
      <c r="G59" s="4">
        <v>4.0</v>
      </c>
      <c r="H59" s="2">
        <f t="shared" si="7"/>
        <v>3.6</v>
      </c>
      <c r="I59" s="2">
        <f t="shared" si="6"/>
        <v>1.140175425</v>
      </c>
    </row>
    <row r="60" ht="18.0" customHeight="1">
      <c r="A60" s="2" t="s">
        <v>67</v>
      </c>
      <c r="B60" s="4">
        <v>6.0</v>
      </c>
      <c r="C60" s="4">
        <v>7.0</v>
      </c>
      <c r="D60" s="5"/>
      <c r="E60" s="4">
        <v>7.0</v>
      </c>
      <c r="F60" s="4">
        <v>4.0</v>
      </c>
      <c r="G60" s="4">
        <v>5.0</v>
      </c>
      <c r="H60" s="2">
        <f t="shared" si="7"/>
        <v>5.8</v>
      </c>
      <c r="I60" s="2">
        <f t="shared" si="6"/>
        <v>1.303840481</v>
      </c>
    </row>
    <row r="61" ht="18.0" customHeight="1">
      <c r="A61" s="2" t="s">
        <v>68</v>
      </c>
      <c r="B61" s="4">
        <v>5.0</v>
      </c>
      <c r="C61" s="4">
        <v>5.0</v>
      </c>
      <c r="D61" s="5"/>
      <c r="E61" s="4">
        <v>5.0</v>
      </c>
      <c r="F61" s="4">
        <v>5.0</v>
      </c>
      <c r="G61" s="4">
        <v>4.0</v>
      </c>
      <c r="H61" s="2">
        <f t="shared" si="7"/>
        <v>4.8</v>
      </c>
      <c r="I61" s="2">
        <f t="shared" si="6"/>
        <v>0.4472135955</v>
      </c>
    </row>
    <row r="62" ht="18.0" customHeight="1">
      <c r="A62" s="2" t="s">
        <v>69</v>
      </c>
      <c r="B62" s="4">
        <v>5.0</v>
      </c>
      <c r="C62" s="4">
        <v>6.0</v>
      </c>
      <c r="D62" s="6"/>
      <c r="E62" s="4">
        <v>6.0</v>
      </c>
      <c r="F62" s="4">
        <v>5.0</v>
      </c>
      <c r="G62" s="4">
        <v>6.0</v>
      </c>
      <c r="H62" s="2">
        <f t="shared" si="7"/>
        <v>5.6</v>
      </c>
      <c r="I62" s="2">
        <f t="shared" si="6"/>
        <v>0.5477225575</v>
      </c>
    </row>
    <row r="63" ht="18.0" customHeight="1">
      <c r="A63" s="2" t="s">
        <v>70</v>
      </c>
      <c r="B63" s="4">
        <v>7.0</v>
      </c>
      <c r="C63" s="4">
        <v>6.0</v>
      </c>
      <c r="D63" s="4">
        <v>7.0</v>
      </c>
      <c r="E63" s="3"/>
      <c r="F63" s="4">
        <v>7.0</v>
      </c>
      <c r="G63" s="4">
        <v>7.0</v>
      </c>
      <c r="H63" s="2">
        <f t="shared" ref="H63:H82" si="8">AVERAGE(B63:D63,F63:G63)</f>
        <v>6.8</v>
      </c>
      <c r="I63" s="2">
        <f t="shared" ref="I63:I82" si="9">STDEV(B63:D63,F63:G63)</f>
        <v>0.4472135955</v>
      </c>
    </row>
    <row r="64" ht="18.0" customHeight="1">
      <c r="A64" s="2" t="s">
        <v>71</v>
      </c>
      <c r="B64" s="4">
        <v>3.0</v>
      </c>
      <c r="C64" s="4">
        <v>7.0</v>
      </c>
      <c r="D64" s="4">
        <v>6.0</v>
      </c>
      <c r="E64" s="5"/>
      <c r="F64" s="4">
        <v>3.0</v>
      </c>
      <c r="G64" s="4">
        <v>4.0</v>
      </c>
      <c r="H64" s="2">
        <f t="shared" si="8"/>
        <v>4.6</v>
      </c>
      <c r="I64" s="2">
        <f t="shared" si="9"/>
        <v>1.816590212</v>
      </c>
    </row>
    <row r="65" ht="18.0" customHeight="1">
      <c r="A65" s="2" t="s">
        <v>72</v>
      </c>
      <c r="B65" s="4">
        <v>6.0</v>
      </c>
      <c r="C65" s="4">
        <v>6.0</v>
      </c>
      <c r="D65" s="4">
        <v>6.0</v>
      </c>
      <c r="E65" s="5"/>
      <c r="F65" s="4">
        <v>5.0</v>
      </c>
      <c r="G65" s="4">
        <v>6.0</v>
      </c>
      <c r="H65" s="2">
        <f t="shared" si="8"/>
        <v>5.8</v>
      </c>
      <c r="I65" s="2">
        <f t="shared" si="9"/>
        <v>0.4472135955</v>
      </c>
    </row>
    <row r="66" ht="18.0" customHeight="1">
      <c r="A66" s="2" t="s">
        <v>73</v>
      </c>
      <c r="B66" s="4">
        <v>7.0</v>
      </c>
      <c r="C66" s="4">
        <v>7.0</v>
      </c>
      <c r="D66" s="4">
        <v>6.0</v>
      </c>
      <c r="E66" s="5"/>
      <c r="F66" s="4">
        <v>4.0</v>
      </c>
      <c r="G66" s="4">
        <v>4.0</v>
      </c>
      <c r="H66" s="2">
        <f t="shared" si="8"/>
        <v>5.6</v>
      </c>
      <c r="I66" s="2">
        <f t="shared" si="9"/>
        <v>1.516575089</v>
      </c>
    </row>
    <row r="67" ht="18.0" customHeight="1">
      <c r="A67" s="2" t="s">
        <v>74</v>
      </c>
      <c r="B67" s="4">
        <v>5.0</v>
      </c>
      <c r="C67" s="4">
        <v>7.0</v>
      </c>
      <c r="D67" s="4">
        <v>7.0</v>
      </c>
      <c r="E67" s="5"/>
      <c r="F67" s="4">
        <v>6.0</v>
      </c>
      <c r="G67" s="4">
        <v>6.0</v>
      </c>
      <c r="H67" s="2">
        <f t="shared" si="8"/>
        <v>6.2</v>
      </c>
      <c r="I67" s="2">
        <f t="shared" si="9"/>
        <v>0.8366600265</v>
      </c>
    </row>
    <row r="68" ht="18.0" customHeight="1">
      <c r="A68" s="2" t="s">
        <v>75</v>
      </c>
      <c r="B68" s="4">
        <v>5.0</v>
      </c>
      <c r="C68" s="4">
        <v>7.0</v>
      </c>
      <c r="D68" s="4">
        <v>6.0</v>
      </c>
      <c r="E68" s="5"/>
      <c r="F68" s="4">
        <v>6.0</v>
      </c>
      <c r="G68" s="4">
        <v>4.0</v>
      </c>
      <c r="H68" s="2">
        <f t="shared" si="8"/>
        <v>5.6</v>
      </c>
      <c r="I68" s="2">
        <f t="shared" si="9"/>
        <v>1.140175425</v>
      </c>
    </row>
    <row r="69" ht="18.0" customHeight="1">
      <c r="A69" s="2" t="s">
        <v>76</v>
      </c>
      <c r="B69" s="4">
        <v>5.0</v>
      </c>
      <c r="C69" s="4">
        <v>7.0</v>
      </c>
      <c r="D69" s="4">
        <v>6.0</v>
      </c>
      <c r="E69" s="5"/>
      <c r="F69" s="4">
        <v>5.0</v>
      </c>
      <c r="G69" s="4">
        <v>4.0</v>
      </c>
      <c r="H69" s="2">
        <f t="shared" si="8"/>
        <v>5.4</v>
      </c>
      <c r="I69" s="2">
        <f t="shared" si="9"/>
        <v>1.140175425</v>
      </c>
    </row>
    <row r="70" ht="18.0" customHeight="1">
      <c r="A70" s="2" t="s">
        <v>77</v>
      </c>
      <c r="B70" s="4">
        <v>5.0</v>
      </c>
      <c r="C70" s="4">
        <v>7.0</v>
      </c>
      <c r="D70" s="4">
        <v>6.0</v>
      </c>
      <c r="E70" s="5"/>
      <c r="F70" s="4">
        <v>7.0</v>
      </c>
      <c r="G70" s="4">
        <v>6.0</v>
      </c>
      <c r="H70" s="2">
        <f t="shared" si="8"/>
        <v>6.2</v>
      </c>
      <c r="I70" s="2">
        <f t="shared" si="9"/>
        <v>0.8366600265</v>
      </c>
    </row>
    <row r="71" ht="18.0" customHeight="1">
      <c r="A71" s="2" t="s">
        <v>78</v>
      </c>
      <c r="B71" s="4">
        <v>6.0</v>
      </c>
      <c r="C71" s="4">
        <v>7.0</v>
      </c>
      <c r="D71" s="4">
        <v>7.0</v>
      </c>
      <c r="E71" s="5"/>
      <c r="F71" s="4">
        <v>5.0</v>
      </c>
      <c r="G71" s="4">
        <v>5.0</v>
      </c>
      <c r="H71" s="2">
        <f t="shared" si="8"/>
        <v>6</v>
      </c>
      <c r="I71" s="2">
        <f t="shared" si="9"/>
        <v>1</v>
      </c>
    </row>
    <row r="72" ht="18.0" customHeight="1">
      <c r="A72" s="2" t="s">
        <v>79</v>
      </c>
      <c r="B72" s="4">
        <v>6.0</v>
      </c>
      <c r="C72" s="4">
        <v>6.0</v>
      </c>
      <c r="D72" s="4">
        <v>7.0</v>
      </c>
      <c r="E72" s="5"/>
      <c r="F72" s="4">
        <v>5.0</v>
      </c>
      <c r="G72" s="4">
        <v>5.0</v>
      </c>
      <c r="H72" s="2">
        <f t="shared" si="8"/>
        <v>5.8</v>
      </c>
      <c r="I72" s="2">
        <f t="shared" si="9"/>
        <v>0.8366600265</v>
      </c>
    </row>
    <row r="73" ht="18.0" customHeight="1">
      <c r="A73" s="2" t="s">
        <v>80</v>
      </c>
      <c r="B73" s="4">
        <v>7.0</v>
      </c>
      <c r="C73" s="4">
        <v>7.0</v>
      </c>
      <c r="D73" s="4">
        <v>6.0</v>
      </c>
      <c r="E73" s="5"/>
      <c r="F73" s="4">
        <v>5.0</v>
      </c>
      <c r="G73" s="4">
        <v>4.0</v>
      </c>
      <c r="H73" s="2">
        <f t="shared" si="8"/>
        <v>5.8</v>
      </c>
      <c r="I73" s="2">
        <f t="shared" si="9"/>
        <v>1.303840481</v>
      </c>
    </row>
    <row r="74" ht="18.0" customHeight="1">
      <c r="A74" s="2" t="s">
        <v>81</v>
      </c>
      <c r="B74" s="4">
        <v>7.0</v>
      </c>
      <c r="C74" s="4">
        <v>5.0</v>
      </c>
      <c r="D74" s="4">
        <v>5.0</v>
      </c>
      <c r="E74" s="5"/>
      <c r="F74" s="4">
        <v>6.0</v>
      </c>
      <c r="G74" s="4">
        <v>4.0</v>
      </c>
      <c r="H74" s="2">
        <f t="shared" si="8"/>
        <v>5.4</v>
      </c>
      <c r="I74" s="2">
        <f t="shared" si="9"/>
        <v>1.140175425</v>
      </c>
    </row>
    <row r="75" ht="18.0" customHeight="1">
      <c r="A75" s="2" t="s">
        <v>82</v>
      </c>
      <c r="B75" s="4">
        <v>5.0</v>
      </c>
      <c r="C75" s="4">
        <v>6.0</v>
      </c>
      <c r="D75" s="4">
        <v>6.0</v>
      </c>
      <c r="E75" s="5"/>
      <c r="F75" s="4">
        <v>7.0</v>
      </c>
      <c r="G75" s="4">
        <v>4.0</v>
      </c>
      <c r="H75" s="2">
        <f t="shared" si="8"/>
        <v>5.6</v>
      </c>
      <c r="I75" s="2">
        <f t="shared" si="9"/>
        <v>1.140175425</v>
      </c>
    </row>
    <row r="76" ht="18.0" customHeight="1">
      <c r="A76" s="2" t="s">
        <v>83</v>
      </c>
      <c r="B76" s="4">
        <v>6.0</v>
      </c>
      <c r="C76" s="4">
        <v>6.0</v>
      </c>
      <c r="D76" s="4">
        <v>5.0</v>
      </c>
      <c r="E76" s="5"/>
      <c r="F76" s="4">
        <v>5.0</v>
      </c>
      <c r="G76" s="4">
        <v>5.0</v>
      </c>
      <c r="H76" s="2">
        <f t="shared" si="8"/>
        <v>5.4</v>
      </c>
      <c r="I76" s="2">
        <f t="shared" si="9"/>
        <v>0.5477225575</v>
      </c>
    </row>
    <row r="77" ht="18.0" customHeight="1">
      <c r="A77" s="2" t="s">
        <v>84</v>
      </c>
      <c r="B77" s="4">
        <v>6.0</v>
      </c>
      <c r="C77" s="4">
        <v>6.0</v>
      </c>
      <c r="D77" s="4">
        <v>4.0</v>
      </c>
      <c r="E77" s="5"/>
      <c r="F77" s="4">
        <v>5.0</v>
      </c>
      <c r="G77" s="4">
        <v>6.0</v>
      </c>
      <c r="H77" s="2">
        <f t="shared" si="8"/>
        <v>5.4</v>
      </c>
      <c r="I77" s="2">
        <f t="shared" si="9"/>
        <v>0.894427191</v>
      </c>
    </row>
    <row r="78" ht="18.0" customHeight="1">
      <c r="A78" s="2" t="s">
        <v>85</v>
      </c>
      <c r="B78" s="4">
        <v>4.0</v>
      </c>
      <c r="C78" s="4">
        <v>6.0</v>
      </c>
      <c r="D78" s="4">
        <v>4.0</v>
      </c>
      <c r="E78" s="5"/>
      <c r="F78" s="4">
        <v>3.0</v>
      </c>
      <c r="G78" s="4">
        <v>5.0</v>
      </c>
      <c r="H78" s="2">
        <f t="shared" si="8"/>
        <v>4.4</v>
      </c>
      <c r="I78" s="2">
        <f t="shared" si="9"/>
        <v>1.140175425</v>
      </c>
    </row>
    <row r="79" ht="18.0" customHeight="1">
      <c r="A79" s="2" t="s">
        <v>86</v>
      </c>
      <c r="B79" s="4">
        <v>6.0</v>
      </c>
      <c r="C79" s="4">
        <v>7.0</v>
      </c>
      <c r="D79" s="4">
        <v>3.0</v>
      </c>
      <c r="E79" s="5"/>
      <c r="F79" s="4">
        <v>5.0</v>
      </c>
      <c r="G79" s="4">
        <v>4.0</v>
      </c>
      <c r="H79" s="2">
        <f t="shared" si="8"/>
        <v>5</v>
      </c>
      <c r="I79" s="2">
        <f t="shared" si="9"/>
        <v>1.58113883</v>
      </c>
    </row>
    <row r="80" ht="18.0" customHeight="1">
      <c r="A80" s="2" t="s">
        <v>87</v>
      </c>
      <c r="B80" s="4">
        <v>5.0</v>
      </c>
      <c r="C80" s="4">
        <v>6.0</v>
      </c>
      <c r="D80" s="4">
        <v>3.0</v>
      </c>
      <c r="E80" s="5"/>
      <c r="F80" s="4">
        <v>4.0</v>
      </c>
      <c r="G80" s="4">
        <v>4.0</v>
      </c>
      <c r="H80" s="2">
        <f t="shared" si="8"/>
        <v>4.4</v>
      </c>
      <c r="I80" s="2">
        <f t="shared" si="9"/>
        <v>1.140175425</v>
      </c>
    </row>
    <row r="81" ht="18.0" customHeight="1">
      <c r="A81" s="2" t="s">
        <v>88</v>
      </c>
      <c r="B81" s="4">
        <v>7.0</v>
      </c>
      <c r="C81" s="4">
        <v>7.0</v>
      </c>
      <c r="D81" s="4">
        <v>2.0</v>
      </c>
      <c r="E81" s="5"/>
      <c r="F81" s="4">
        <v>5.0</v>
      </c>
      <c r="G81" s="4">
        <v>3.0</v>
      </c>
      <c r="H81" s="2">
        <f t="shared" si="8"/>
        <v>4.8</v>
      </c>
      <c r="I81" s="2">
        <f t="shared" si="9"/>
        <v>2.28035085</v>
      </c>
    </row>
    <row r="82" ht="18.0" customHeight="1">
      <c r="A82" s="2" t="s">
        <v>89</v>
      </c>
      <c r="B82" s="4">
        <v>5.0</v>
      </c>
      <c r="C82" s="4">
        <v>6.0</v>
      </c>
      <c r="D82" s="4">
        <v>7.0</v>
      </c>
      <c r="E82" s="6"/>
      <c r="F82" s="4">
        <v>6.0</v>
      </c>
      <c r="G82" s="4">
        <v>5.0</v>
      </c>
      <c r="H82" s="2">
        <f t="shared" si="8"/>
        <v>5.8</v>
      </c>
      <c r="I82" s="2">
        <f t="shared" si="9"/>
        <v>0.8366600265</v>
      </c>
    </row>
    <row r="83" ht="18.0" customHeight="1">
      <c r="A83" s="2" t="s">
        <v>90</v>
      </c>
      <c r="B83" s="4">
        <v>7.0</v>
      </c>
      <c r="C83" s="4">
        <v>7.0</v>
      </c>
      <c r="D83" s="4">
        <v>6.0</v>
      </c>
      <c r="E83" s="4">
        <v>7.0</v>
      </c>
      <c r="F83" s="3"/>
      <c r="G83" s="4">
        <v>6.0</v>
      </c>
      <c r="H83" s="2">
        <f t="shared" ref="H83:H104" si="10">AVERAGE(B83:E83,G83)</f>
        <v>6.6</v>
      </c>
      <c r="I83" s="2">
        <f t="shared" ref="I83:I104" si="11">STDEV(B83:E83,G83)</f>
        <v>0.5477225575</v>
      </c>
    </row>
    <row r="84" ht="18.0" customHeight="1">
      <c r="A84" s="2" t="s">
        <v>91</v>
      </c>
      <c r="B84" s="4">
        <v>7.0</v>
      </c>
      <c r="C84" s="4">
        <v>6.0</v>
      </c>
      <c r="D84" s="4">
        <v>7.0</v>
      </c>
      <c r="E84" s="4">
        <v>7.0</v>
      </c>
      <c r="F84" s="5"/>
      <c r="G84" s="4">
        <v>5.0</v>
      </c>
      <c r="H84" s="2">
        <f t="shared" si="10"/>
        <v>6.4</v>
      </c>
      <c r="I84" s="2">
        <f t="shared" si="11"/>
        <v>0.894427191</v>
      </c>
    </row>
    <row r="85" ht="18.0" customHeight="1">
      <c r="A85" s="2" t="s">
        <v>92</v>
      </c>
      <c r="B85" s="4">
        <v>7.0</v>
      </c>
      <c r="C85" s="4">
        <v>7.0</v>
      </c>
      <c r="D85" s="4">
        <v>6.0</v>
      </c>
      <c r="E85" s="4">
        <v>6.0</v>
      </c>
      <c r="F85" s="5"/>
      <c r="G85" s="4">
        <v>4.0</v>
      </c>
      <c r="H85" s="2">
        <f t="shared" si="10"/>
        <v>6</v>
      </c>
      <c r="I85" s="2">
        <f t="shared" si="11"/>
        <v>1.224744871</v>
      </c>
    </row>
    <row r="86" ht="18.0" customHeight="1">
      <c r="A86" s="2" t="s">
        <v>93</v>
      </c>
      <c r="B86" s="4">
        <v>5.0</v>
      </c>
      <c r="C86" s="4">
        <v>7.0</v>
      </c>
      <c r="D86" s="4">
        <v>6.0</v>
      </c>
      <c r="E86" s="4">
        <v>7.0</v>
      </c>
      <c r="F86" s="5"/>
      <c r="G86" s="4">
        <v>6.0</v>
      </c>
      <c r="H86" s="2">
        <f t="shared" si="10"/>
        <v>6.2</v>
      </c>
      <c r="I86" s="2">
        <f t="shared" si="11"/>
        <v>0.8366600265</v>
      </c>
    </row>
    <row r="87" ht="18.0" customHeight="1">
      <c r="A87" s="2" t="s">
        <v>94</v>
      </c>
      <c r="B87" s="4">
        <v>4.0</v>
      </c>
      <c r="C87" s="4">
        <v>7.0</v>
      </c>
      <c r="D87" s="4">
        <v>5.0</v>
      </c>
      <c r="E87" s="4">
        <v>5.0</v>
      </c>
      <c r="F87" s="5"/>
      <c r="G87" s="4">
        <v>5.0</v>
      </c>
      <c r="H87" s="2">
        <f t="shared" si="10"/>
        <v>5.2</v>
      </c>
      <c r="I87" s="2">
        <f t="shared" si="11"/>
        <v>1.095445115</v>
      </c>
    </row>
    <row r="88" ht="18.0" customHeight="1">
      <c r="A88" s="2" t="s">
        <v>95</v>
      </c>
      <c r="B88" s="4">
        <v>5.0</v>
      </c>
      <c r="C88" s="4">
        <v>7.0</v>
      </c>
      <c r="D88" s="4">
        <v>3.0</v>
      </c>
      <c r="E88" s="4">
        <v>5.0</v>
      </c>
      <c r="F88" s="5"/>
      <c r="G88" s="4">
        <v>7.0</v>
      </c>
      <c r="H88" s="2">
        <f t="shared" si="10"/>
        <v>5.4</v>
      </c>
      <c r="I88" s="2">
        <f t="shared" si="11"/>
        <v>1.673320053</v>
      </c>
    </row>
    <row r="89" ht="18.0" customHeight="1">
      <c r="A89" s="2" t="s">
        <v>96</v>
      </c>
      <c r="B89" s="4">
        <v>5.0</v>
      </c>
      <c r="C89" s="4">
        <v>7.0</v>
      </c>
      <c r="D89" s="4">
        <v>5.0</v>
      </c>
      <c r="E89" s="4">
        <v>7.0</v>
      </c>
      <c r="F89" s="5"/>
      <c r="G89" s="4">
        <v>6.0</v>
      </c>
      <c r="H89" s="2">
        <f t="shared" si="10"/>
        <v>6</v>
      </c>
      <c r="I89" s="2">
        <f t="shared" si="11"/>
        <v>1</v>
      </c>
    </row>
    <row r="90" ht="18.0" customHeight="1">
      <c r="A90" s="2" t="s">
        <v>97</v>
      </c>
      <c r="B90" s="4">
        <v>7.0</v>
      </c>
      <c r="C90" s="4">
        <v>7.0</v>
      </c>
      <c r="D90" s="4">
        <v>5.0</v>
      </c>
      <c r="E90" s="4">
        <v>6.0</v>
      </c>
      <c r="F90" s="5"/>
      <c r="G90" s="4">
        <v>5.0</v>
      </c>
      <c r="H90" s="2">
        <f t="shared" si="10"/>
        <v>6</v>
      </c>
      <c r="I90" s="2">
        <f t="shared" si="11"/>
        <v>1</v>
      </c>
    </row>
    <row r="91" ht="18.0" customHeight="1">
      <c r="A91" s="2" t="s">
        <v>98</v>
      </c>
      <c r="B91" s="4">
        <v>5.0</v>
      </c>
      <c r="C91" s="4">
        <v>7.0</v>
      </c>
      <c r="D91" s="4">
        <v>4.0</v>
      </c>
      <c r="E91" s="4">
        <v>6.0</v>
      </c>
      <c r="F91" s="5"/>
      <c r="G91" s="4">
        <v>4.0</v>
      </c>
      <c r="H91" s="2">
        <f t="shared" si="10"/>
        <v>5.2</v>
      </c>
      <c r="I91" s="2">
        <f t="shared" si="11"/>
        <v>1.303840481</v>
      </c>
    </row>
    <row r="92" ht="18.0" customHeight="1">
      <c r="A92" s="2" t="s">
        <v>99</v>
      </c>
      <c r="B92" s="4">
        <v>4.0</v>
      </c>
      <c r="C92" s="4">
        <v>7.0</v>
      </c>
      <c r="D92" s="4">
        <v>5.0</v>
      </c>
      <c r="E92" s="4">
        <v>7.0</v>
      </c>
      <c r="F92" s="5"/>
      <c r="G92" s="4">
        <v>5.0</v>
      </c>
      <c r="H92" s="2">
        <f t="shared" si="10"/>
        <v>5.6</v>
      </c>
      <c r="I92" s="2">
        <f t="shared" si="11"/>
        <v>1.341640786</v>
      </c>
    </row>
    <row r="93" ht="18.0" customHeight="1">
      <c r="A93" s="2" t="s">
        <v>100</v>
      </c>
      <c r="B93" s="4">
        <v>6.0</v>
      </c>
      <c r="C93" s="4">
        <v>7.0</v>
      </c>
      <c r="D93" s="4">
        <v>4.0</v>
      </c>
      <c r="E93" s="4">
        <v>6.0</v>
      </c>
      <c r="F93" s="5"/>
      <c r="G93" s="4">
        <v>4.0</v>
      </c>
      <c r="H93" s="2">
        <f t="shared" si="10"/>
        <v>5.4</v>
      </c>
      <c r="I93" s="2">
        <f t="shared" si="11"/>
        <v>1.341640786</v>
      </c>
    </row>
    <row r="94" ht="18.0" customHeight="1">
      <c r="A94" s="2" t="s">
        <v>101</v>
      </c>
      <c r="B94" s="4">
        <v>5.0</v>
      </c>
      <c r="C94" s="4">
        <v>6.0</v>
      </c>
      <c r="D94" s="4">
        <v>4.0</v>
      </c>
      <c r="E94" s="4">
        <v>5.0</v>
      </c>
      <c r="F94" s="5"/>
      <c r="G94" s="4">
        <v>4.0</v>
      </c>
      <c r="H94" s="2">
        <f t="shared" si="10"/>
        <v>4.8</v>
      </c>
      <c r="I94" s="2">
        <f t="shared" si="11"/>
        <v>0.8366600265</v>
      </c>
    </row>
    <row r="95" ht="18.0" customHeight="1">
      <c r="A95" s="2" t="s">
        <v>102</v>
      </c>
      <c r="B95" s="4">
        <v>7.0</v>
      </c>
      <c r="C95" s="4">
        <v>7.0</v>
      </c>
      <c r="D95" s="4">
        <v>5.0</v>
      </c>
      <c r="E95" s="4">
        <v>6.0</v>
      </c>
      <c r="F95" s="5"/>
      <c r="G95" s="4">
        <v>5.0</v>
      </c>
      <c r="H95" s="2">
        <f t="shared" si="10"/>
        <v>6</v>
      </c>
      <c r="I95" s="2">
        <f t="shared" si="11"/>
        <v>1</v>
      </c>
    </row>
    <row r="96" ht="18.0" customHeight="1">
      <c r="A96" s="2" t="s">
        <v>103</v>
      </c>
      <c r="B96" s="4">
        <v>5.0</v>
      </c>
      <c r="C96" s="4">
        <v>7.0</v>
      </c>
      <c r="D96" s="4">
        <v>5.0</v>
      </c>
      <c r="E96" s="4">
        <v>5.0</v>
      </c>
      <c r="F96" s="5"/>
      <c r="G96" s="4">
        <v>6.0</v>
      </c>
      <c r="H96" s="2">
        <f t="shared" si="10"/>
        <v>5.6</v>
      </c>
      <c r="I96" s="2">
        <f t="shared" si="11"/>
        <v>0.894427191</v>
      </c>
    </row>
    <row r="97" ht="18.0" customHeight="1">
      <c r="A97" s="2" t="s">
        <v>104</v>
      </c>
      <c r="B97" s="4">
        <v>6.0</v>
      </c>
      <c r="C97" s="4">
        <v>7.0</v>
      </c>
      <c r="D97" s="4">
        <v>6.0</v>
      </c>
      <c r="E97" s="4">
        <v>6.0</v>
      </c>
      <c r="F97" s="5"/>
      <c r="G97" s="4">
        <v>5.0</v>
      </c>
      <c r="H97" s="2">
        <f t="shared" si="10"/>
        <v>6</v>
      </c>
      <c r="I97" s="2">
        <f t="shared" si="11"/>
        <v>0.7071067812</v>
      </c>
    </row>
    <row r="98" ht="18.0" customHeight="1">
      <c r="A98" s="2" t="s">
        <v>105</v>
      </c>
      <c r="B98" s="4">
        <v>4.0</v>
      </c>
      <c r="C98" s="4">
        <v>6.0</v>
      </c>
      <c r="D98" s="4">
        <v>6.0</v>
      </c>
      <c r="E98" s="4">
        <v>5.0</v>
      </c>
      <c r="F98" s="5"/>
      <c r="G98" s="4">
        <v>5.0</v>
      </c>
      <c r="H98" s="2">
        <f t="shared" si="10"/>
        <v>5.2</v>
      </c>
      <c r="I98" s="2">
        <f t="shared" si="11"/>
        <v>0.8366600265</v>
      </c>
    </row>
    <row r="99" ht="18.0" customHeight="1">
      <c r="A99" s="2" t="s">
        <v>106</v>
      </c>
      <c r="B99" s="4">
        <v>5.0</v>
      </c>
      <c r="C99" s="4">
        <v>6.0</v>
      </c>
      <c r="D99" s="4">
        <v>6.0</v>
      </c>
      <c r="E99" s="4">
        <v>5.0</v>
      </c>
      <c r="F99" s="5"/>
      <c r="G99" s="4">
        <v>5.0</v>
      </c>
      <c r="H99" s="2">
        <f t="shared" si="10"/>
        <v>5.4</v>
      </c>
      <c r="I99" s="2">
        <f t="shared" si="11"/>
        <v>0.5477225575</v>
      </c>
    </row>
    <row r="100" ht="18.0" customHeight="1">
      <c r="A100" s="2" t="s">
        <v>107</v>
      </c>
      <c r="B100" s="4">
        <v>5.0</v>
      </c>
      <c r="C100" s="4">
        <v>5.0</v>
      </c>
      <c r="D100" s="4">
        <v>4.0</v>
      </c>
      <c r="E100" s="4">
        <v>7.0</v>
      </c>
      <c r="F100" s="5"/>
      <c r="G100" s="4">
        <v>4.0</v>
      </c>
      <c r="H100" s="2">
        <f t="shared" si="10"/>
        <v>5</v>
      </c>
      <c r="I100" s="2">
        <f t="shared" si="11"/>
        <v>1.224744871</v>
      </c>
    </row>
    <row r="101" ht="18.0" customHeight="1">
      <c r="A101" s="2" t="s">
        <v>108</v>
      </c>
      <c r="B101" s="4">
        <v>6.0</v>
      </c>
      <c r="C101" s="4">
        <v>6.0</v>
      </c>
      <c r="D101" s="4">
        <v>4.0</v>
      </c>
      <c r="E101" s="4">
        <v>7.0</v>
      </c>
      <c r="F101" s="5"/>
      <c r="G101" s="4">
        <v>4.0</v>
      </c>
      <c r="H101" s="2">
        <f t="shared" si="10"/>
        <v>5.4</v>
      </c>
      <c r="I101" s="2">
        <f t="shared" si="11"/>
        <v>1.341640786</v>
      </c>
    </row>
    <row r="102" ht="18.0" customHeight="1">
      <c r="A102" s="2" t="s">
        <v>109</v>
      </c>
      <c r="B102" s="4">
        <v>4.0</v>
      </c>
      <c r="C102" s="4">
        <v>6.0</v>
      </c>
      <c r="D102" s="4">
        <v>4.0</v>
      </c>
      <c r="E102" s="4">
        <v>4.0</v>
      </c>
      <c r="F102" s="5"/>
      <c r="G102" s="4">
        <v>4.0</v>
      </c>
      <c r="H102" s="2">
        <f t="shared" si="10"/>
        <v>4.4</v>
      </c>
      <c r="I102" s="2">
        <f t="shared" si="11"/>
        <v>0.894427191</v>
      </c>
    </row>
    <row r="103" ht="18.0" customHeight="1">
      <c r="A103" s="2" t="s">
        <v>110</v>
      </c>
      <c r="B103" s="4">
        <v>4.0</v>
      </c>
      <c r="C103" s="4">
        <v>7.0</v>
      </c>
      <c r="D103" s="4">
        <v>4.0</v>
      </c>
      <c r="E103" s="4">
        <v>4.0</v>
      </c>
      <c r="F103" s="5"/>
      <c r="G103" s="4">
        <v>6.0</v>
      </c>
      <c r="H103" s="2">
        <f t="shared" si="10"/>
        <v>5</v>
      </c>
      <c r="I103" s="2">
        <f t="shared" si="11"/>
        <v>1.414213562</v>
      </c>
    </row>
    <row r="104" ht="18.0" customHeight="1">
      <c r="A104" s="2" t="s">
        <v>111</v>
      </c>
      <c r="B104" s="4">
        <v>4.0</v>
      </c>
      <c r="C104" s="4">
        <v>7.0</v>
      </c>
      <c r="D104" s="4">
        <v>5.0</v>
      </c>
      <c r="E104" s="4">
        <v>4.0</v>
      </c>
      <c r="F104" s="6"/>
      <c r="G104" s="4">
        <v>6.0</v>
      </c>
      <c r="H104" s="2">
        <f t="shared" si="10"/>
        <v>5.2</v>
      </c>
      <c r="I104" s="2">
        <f t="shared" si="11"/>
        <v>1.303840481</v>
      </c>
    </row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  <row r="1001" ht="18.0" customHeight="1"/>
  </sheetData>
  <mergeCells count="5">
    <mergeCell ref="B2:B22"/>
    <mergeCell ref="C23:C42"/>
    <mergeCell ref="D43:D62"/>
    <mergeCell ref="E63:E82"/>
    <mergeCell ref="F83:F10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26" width="8.33"/>
  </cols>
  <sheetData>
    <row r="1" ht="18.0" customHeight="1">
      <c r="A1" s="1" t="s">
        <v>112</v>
      </c>
      <c r="B1" s="1" t="s">
        <v>113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114</v>
      </c>
      <c r="I1" s="1" t="s">
        <v>8</v>
      </c>
    </row>
    <row r="2" ht="18.0" customHeight="1">
      <c r="A2" s="2" t="s">
        <v>115</v>
      </c>
      <c r="B2" s="3"/>
      <c r="C2" s="4">
        <v>6.0</v>
      </c>
      <c r="D2" s="4">
        <v>5.0</v>
      </c>
      <c r="E2" s="4">
        <v>5.0</v>
      </c>
      <c r="F2" s="4">
        <v>5.0</v>
      </c>
      <c r="G2" s="4">
        <v>6.0</v>
      </c>
      <c r="H2" s="2">
        <f t="shared" ref="H2:H21" si="1">AVERAGE(C2:G2)</f>
        <v>5.4</v>
      </c>
      <c r="I2" s="2">
        <f t="shared" ref="I2:I21" si="2">STDEV(C2:G2)</f>
        <v>0.5477225575</v>
      </c>
    </row>
    <row r="3" ht="18.0" customHeight="1">
      <c r="A3" s="2" t="s">
        <v>116</v>
      </c>
      <c r="B3" s="5"/>
      <c r="C3" s="4">
        <v>4.0</v>
      </c>
      <c r="D3" s="4">
        <v>4.0</v>
      </c>
      <c r="E3" s="4">
        <v>4.0</v>
      </c>
      <c r="F3" s="4">
        <v>4.0</v>
      </c>
      <c r="G3" s="4">
        <v>5.0</v>
      </c>
      <c r="H3" s="2">
        <f t="shared" si="1"/>
        <v>4.2</v>
      </c>
      <c r="I3" s="2">
        <f t="shared" si="2"/>
        <v>0.4472135955</v>
      </c>
    </row>
    <row r="4" ht="18.0" customHeight="1">
      <c r="A4" s="2" t="s">
        <v>117</v>
      </c>
      <c r="B4" s="5"/>
      <c r="C4" s="4">
        <v>4.0</v>
      </c>
      <c r="D4" s="4">
        <v>4.0</v>
      </c>
      <c r="E4" s="4">
        <v>4.0</v>
      </c>
      <c r="F4" s="4">
        <v>4.0</v>
      </c>
      <c r="G4" s="4">
        <v>6.0</v>
      </c>
      <c r="H4" s="2">
        <f t="shared" si="1"/>
        <v>4.4</v>
      </c>
      <c r="I4" s="2">
        <f t="shared" si="2"/>
        <v>0.894427191</v>
      </c>
    </row>
    <row r="5" ht="18.0" customHeight="1">
      <c r="A5" s="2" t="s">
        <v>118</v>
      </c>
      <c r="B5" s="5"/>
      <c r="C5" s="4">
        <v>4.0</v>
      </c>
      <c r="D5" s="4">
        <v>3.0</v>
      </c>
      <c r="E5" s="4">
        <v>4.0</v>
      </c>
      <c r="F5" s="4">
        <v>4.0</v>
      </c>
      <c r="G5" s="4">
        <v>6.0</v>
      </c>
      <c r="H5" s="2">
        <f t="shared" si="1"/>
        <v>4.2</v>
      </c>
      <c r="I5" s="2">
        <f t="shared" si="2"/>
        <v>1.095445115</v>
      </c>
    </row>
    <row r="6" ht="18.0" customHeight="1">
      <c r="A6" s="2" t="s">
        <v>119</v>
      </c>
      <c r="B6" s="5"/>
      <c r="C6" s="4">
        <v>4.0</v>
      </c>
      <c r="D6" s="4">
        <v>3.0</v>
      </c>
      <c r="E6" s="4">
        <v>4.0</v>
      </c>
      <c r="F6" s="4">
        <v>4.0</v>
      </c>
      <c r="G6" s="4">
        <v>6.0</v>
      </c>
      <c r="H6" s="2">
        <f t="shared" si="1"/>
        <v>4.2</v>
      </c>
      <c r="I6" s="2">
        <f t="shared" si="2"/>
        <v>1.095445115</v>
      </c>
    </row>
    <row r="7" ht="18.0" customHeight="1">
      <c r="A7" s="2" t="s">
        <v>120</v>
      </c>
      <c r="B7" s="5"/>
      <c r="C7" s="4">
        <v>4.0</v>
      </c>
      <c r="D7" s="4">
        <v>3.0</v>
      </c>
      <c r="E7" s="4">
        <v>4.0</v>
      </c>
      <c r="F7" s="4">
        <v>4.0</v>
      </c>
      <c r="G7" s="4">
        <v>5.0</v>
      </c>
      <c r="H7" s="2">
        <f t="shared" si="1"/>
        <v>4</v>
      </c>
      <c r="I7" s="2">
        <f t="shared" si="2"/>
        <v>0.7071067812</v>
      </c>
    </row>
    <row r="8" ht="18.0" customHeight="1">
      <c r="A8" s="2" t="s">
        <v>121</v>
      </c>
      <c r="B8" s="5"/>
      <c r="C8" s="4">
        <v>5.0</v>
      </c>
      <c r="D8" s="4">
        <v>4.0</v>
      </c>
      <c r="E8" s="4">
        <v>4.0</v>
      </c>
      <c r="F8" s="4">
        <v>5.0</v>
      </c>
      <c r="G8" s="4">
        <v>5.0</v>
      </c>
      <c r="H8" s="2">
        <f t="shared" si="1"/>
        <v>4.6</v>
      </c>
      <c r="I8" s="2">
        <f t="shared" si="2"/>
        <v>0.5477225575</v>
      </c>
    </row>
    <row r="9" ht="18.0" customHeight="1">
      <c r="A9" s="2" t="s">
        <v>122</v>
      </c>
      <c r="B9" s="5"/>
      <c r="C9" s="4">
        <v>5.0</v>
      </c>
      <c r="D9" s="4">
        <v>4.0</v>
      </c>
      <c r="E9" s="4">
        <v>4.0</v>
      </c>
      <c r="F9" s="4">
        <v>5.0</v>
      </c>
      <c r="G9" s="4">
        <v>6.0</v>
      </c>
      <c r="H9" s="2">
        <f t="shared" si="1"/>
        <v>4.8</v>
      </c>
      <c r="I9" s="2">
        <f t="shared" si="2"/>
        <v>0.8366600265</v>
      </c>
    </row>
    <row r="10" ht="18.0" customHeight="1">
      <c r="A10" s="2" t="s">
        <v>123</v>
      </c>
      <c r="B10" s="5"/>
      <c r="C10" s="4">
        <v>4.0</v>
      </c>
      <c r="D10" s="4">
        <v>3.0</v>
      </c>
      <c r="E10" s="4">
        <v>4.0</v>
      </c>
      <c r="F10" s="4">
        <v>4.0</v>
      </c>
      <c r="G10" s="4">
        <v>5.0</v>
      </c>
      <c r="H10" s="2">
        <f t="shared" si="1"/>
        <v>4</v>
      </c>
      <c r="I10" s="2">
        <f t="shared" si="2"/>
        <v>0.7071067812</v>
      </c>
    </row>
    <row r="11" ht="18.0" customHeight="1">
      <c r="A11" s="2" t="s">
        <v>124</v>
      </c>
      <c r="B11" s="5"/>
      <c r="C11" s="4">
        <v>5.0</v>
      </c>
      <c r="D11" s="4">
        <v>4.0</v>
      </c>
      <c r="E11" s="4">
        <v>4.0</v>
      </c>
      <c r="F11" s="4">
        <v>5.0</v>
      </c>
      <c r="G11" s="4">
        <v>5.0</v>
      </c>
      <c r="H11" s="2">
        <f t="shared" si="1"/>
        <v>4.6</v>
      </c>
      <c r="I11" s="2">
        <f t="shared" si="2"/>
        <v>0.5477225575</v>
      </c>
    </row>
    <row r="12" ht="18.0" customHeight="1">
      <c r="A12" s="2" t="s">
        <v>125</v>
      </c>
      <c r="B12" s="5"/>
      <c r="C12" s="4">
        <v>6.0</v>
      </c>
      <c r="D12" s="4">
        <v>4.0</v>
      </c>
      <c r="E12" s="4">
        <v>5.0</v>
      </c>
      <c r="F12" s="4">
        <v>6.0</v>
      </c>
      <c r="G12" s="4">
        <v>3.0</v>
      </c>
      <c r="H12" s="2">
        <f t="shared" si="1"/>
        <v>4.8</v>
      </c>
      <c r="I12" s="2">
        <f t="shared" si="2"/>
        <v>1.303840481</v>
      </c>
    </row>
    <row r="13" ht="18.0" customHeight="1">
      <c r="A13" s="2" t="s">
        <v>126</v>
      </c>
      <c r="B13" s="5"/>
      <c r="C13" s="4">
        <v>4.0</v>
      </c>
      <c r="D13" s="4">
        <v>4.0</v>
      </c>
      <c r="E13" s="4">
        <v>4.0</v>
      </c>
      <c r="F13" s="4">
        <v>4.0</v>
      </c>
      <c r="G13" s="4">
        <v>5.0</v>
      </c>
      <c r="H13" s="2">
        <f t="shared" si="1"/>
        <v>4.2</v>
      </c>
      <c r="I13" s="2">
        <f t="shared" si="2"/>
        <v>0.4472135955</v>
      </c>
    </row>
    <row r="14" ht="18.0" customHeight="1">
      <c r="A14" s="2" t="s">
        <v>127</v>
      </c>
      <c r="B14" s="5"/>
      <c r="C14" s="4">
        <v>5.0</v>
      </c>
      <c r="D14" s="4">
        <v>4.0</v>
      </c>
      <c r="E14" s="4">
        <v>4.0</v>
      </c>
      <c r="F14" s="4">
        <v>4.0</v>
      </c>
      <c r="G14" s="4">
        <v>5.0</v>
      </c>
      <c r="H14" s="2">
        <f t="shared" si="1"/>
        <v>4.4</v>
      </c>
      <c r="I14" s="2">
        <f t="shared" si="2"/>
        <v>0.5477225575</v>
      </c>
    </row>
    <row r="15" ht="18.0" customHeight="1">
      <c r="A15" s="2" t="s">
        <v>128</v>
      </c>
      <c r="B15" s="5"/>
      <c r="C15" s="4">
        <v>4.0</v>
      </c>
      <c r="D15" s="4">
        <v>3.0</v>
      </c>
      <c r="E15" s="4">
        <v>4.0</v>
      </c>
      <c r="F15" s="4">
        <v>4.0</v>
      </c>
      <c r="G15" s="4">
        <v>5.0</v>
      </c>
      <c r="H15" s="2">
        <f t="shared" si="1"/>
        <v>4</v>
      </c>
      <c r="I15" s="2">
        <f t="shared" si="2"/>
        <v>0.7071067812</v>
      </c>
    </row>
    <row r="16" ht="18.0" customHeight="1">
      <c r="A16" s="2" t="s">
        <v>129</v>
      </c>
      <c r="B16" s="5"/>
      <c r="C16" s="4">
        <v>4.0</v>
      </c>
      <c r="D16" s="4">
        <v>4.0</v>
      </c>
      <c r="E16" s="4">
        <v>4.0</v>
      </c>
      <c r="F16" s="4">
        <v>4.0</v>
      </c>
      <c r="G16" s="4">
        <v>4.0</v>
      </c>
      <c r="H16" s="2">
        <f t="shared" si="1"/>
        <v>4</v>
      </c>
      <c r="I16" s="2">
        <f t="shared" si="2"/>
        <v>0</v>
      </c>
    </row>
    <row r="17" ht="18.0" customHeight="1">
      <c r="A17" s="2" t="s">
        <v>130</v>
      </c>
      <c r="B17" s="5"/>
      <c r="C17" s="4">
        <v>6.0</v>
      </c>
      <c r="D17" s="4">
        <v>5.0</v>
      </c>
      <c r="E17" s="4">
        <v>5.0</v>
      </c>
      <c r="F17" s="4">
        <v>6.0</v>
      </c>
      <c r="G17" s="4">
        <v>4.0</v>
      </c>
      <c r="H17" s="2">
        <f t="shared" si="1"/>
        <v>5.2</v>
      </c>
      <c r="I17" s="2">
        <f t="shared" si="2"/>
        <v>0.8366600265</v>
      </c>
    </row>
    <row r="18" ht="18.0" customHeight="1">
      <c r="A18" s="2" t="s">
        <v>131</v>
      </c>
      <c r="B18" s="5"/>
      <c r="C18" s="4">
        <v>6.0</v>
      </c>
      <c r="D18" s="4">
        <v>4.0</v>
      </c>
      <c r="E18" s="4">
        <v>5.0</v>
      </c>
      <c r="F18" s="4">
        <v>5.0</v>
      </c>
      <c r="G18" s="4">
        <v>4.0</v>
      </c>
      <c r="H18" s="2">
        <f t="shared" si="1"/>
        <v>4.8</v>
      </c>
      <c r="I18" s="2">
        <f t="shared" si="2"/>
        <v>0.8366600265</v>
      </c>
    </row>
    <row r="19" ht="18.0" customHeight="1">
      <c r="A19" s="2" t="s">
        <v>132</v>
      </c>
      <c r="B19" s="5"/>
      <c r="C19" s="4">
        <v>4.0</v>
      </c>
      <c r="D19" s="4">
        <v>6.0</v>
      </c>
      <c r="E19" s="4">
        <v>5.0</v>
      </c>
      <c r="F19" s="4">
        <v>6.0</v>
      </c>
      <c r="G19" s="4">
        <v>4.0</v>
      </c>
      <c r="H19" s="2">
        <f t="shared" si="1"/>
        <v>5</v>
      </c>
      <c r="I19" s="2">
        <f t="shared" si="2"/>
        <v>1</v>
      </c>
    </row>
    <row r="20" ht="18.0" customHeight="1">
      <c r="A20" s="2" t="s">
        <v>133</v>
      </c>
      <c r="B20" s="5"/>
      <c r="C20" s="4">
        <v>4.0</v>
      </c>
      <c r="D20" s="4">
        <v>4.0</v>
      </c>
      <c r="E20" s="4">
        <v>4.0</v>
      </c>
      <c r="F20" s="4">
        <v>4.0</v>
      </c>
      <c r="G20" s="4">
        <v>4.0</v>
      </c>
      <c r="H20" s="2">
        <f t="shared" si="1"/>
        <v>4</v>
      </c>
      <c r="I20" s="2">
        <f t="shared" si="2"/>
        <v>0</v>
      </c>
    </row>
    <row r="21" ht="18.0" customHeight="1">
      <c r="A21" s="2" t="s">
        <v>134</v>
      </c>
      <c r="B21" s="6"/>
      <c r="C21" s="4">
        <v>5.0</v>
      </c>
      <c r="D21" s="4">
        <v>3.0</v>
      </c>
      <c r="E21" s="4">
        <v>4.0</v>
      </c>
      <c r="F21" s="4">
        <v>4.0</v>
      </c>
      <c r="G21" s="4">
        <v>4.0</v>
      </c>
      <c r="H21" s="2">
        <f t="shared" si="1"/>
        <v>4</v>
      </c>
      <c r="I21" s="2">
        <f t="shared" si="2"/>
        <v>0.7071067812</v>
      </c>
    </row>
    <row r="22" ht="18.0" customHeight="1">
      <c r="A22" s="2" t="s">
        <v>135</v>
      </c>
      <c r="B22" s="4">
        <v>4.0</v>
      </c>
      <c r="C22" s="3"/>
      <c r="D22" s="4">
        <v>3.0</v>
      </c>
      <c r="E22" s="4">
        <v>4.0</v>
      </c>
      <c r="F22" s="4">
        <v>4.0</v>
      </c>
      <c r="G22" s="4">
        <v>5.0</v>
      </c>
      <c r="H22" s="2">
        <f t="shared" ref="H22:H41" si="3">AVERAGE(B22,D22:G22)</f>
        <v>4</v>
      </c>
      <c r="I22" s="2">
        <f t="shared" ref="I22:I41" si="4">STDEV(B22,D22:G22)</f>
        <v>0.7071067812</v>
      </c>
    </row>
    <row r="23" ht="18.0" customHeight="1">
      <c r="A23" s="2" t="s">
        <v>136</v>
      </c>
      <c r="B23" s="4">
        <v>3.0</v>
      </c>
      <c r="C23" s="5"/>
      <c r="D23" s="4">
        <v>3.0</v>
      </c>
      <c r="E23" s="4">
        <v>4.0</v>
      </c>
      <c r="F23" s="4">
        <v>3.0</v>
      </c>
      <c r="G23" s="4">
        <v>5.0</v>
      </c>
      <c r="H23" s="2">
        <f t="shared" si="3"/>
        <v>3.6</v>
      </c>
      <c r="I23" s="2">
        <f t="shared" si="4"/>
        <v>0.894427191</v>
      </c>
    </row>
    <row r="24" ht="18.0" customHeight="1">
      <c r="A24" s="2" t="s">
        <v>137</v>
      </c>
      <c r="B24" s="4">
        <v>3.0</v>
      </c>
      <c r="C24" s="5"/>
      <c r="D24" s="4">
        <v>3.0</v>
      </c>
      <c r="E24" s="4">
        <v>4.0</v>
      </c>
      <c r="F24" s="4">
        <v>5.0</v>
      </c>
      <c r="G24" s="4">
        <v>3.0</v>
      </c>
      <c r="H24" s="2">
        <f t="shared" si="3"/>
        <v>3.6</v>
      </c>
      <c r="I24" s="2">
        <f t="shared" si="4"/>
        <v>0.894427191</v>
      </c>
    </row>
    <row r="25" ht="18.0" customHeight="1">
      <c r="A25" s="2" t="s">
        <v>138</v>
      </c>
      <c r="B25" s="4">
        <v>3.0</v>
      </c>
      <c r="C25" s="5"/>
      <c r="D25" s="4">
        <v>3.0</v>
      </c>
      <c r="E25" s="4">
        <v>4.0</v>
      </c>
      <c r="F25" s="4">
        <v>2.0</v>
      </c>
      <c r="G25" s="4">
        <v>4.0</v>
      </c>
      <c r="H25" s="2">
        <f t="shared" si="3"/>
        <v>3.2</v>
      </c>
      <c r="I25" s="2">
        <f t="shared" si="4"/>
        <v>0.8366600265</v>
      </c>
    </row>
    <row r="26" ht="18.0" customHeight="1">
      <c r="A26" s="2" t="s">
        <v>139</v>
      </c>
      <c r="B26" s="4">
        <v>4.0</v>
      </c>
      <c r="C26" s="5"/>
      <c r="D26" s="4">
        <v>3.0</v>
      </c>
      <c r="E26" s="4">
        <v>4.0</v>
      </c>
      <c r="F26" s="4">
        <v>5.0</v>
      </c>
      <c r="G26" s="4">
        <v>5.0</v>
      </c>
      <c r="H26" s="2">
        <f t="shared" si="3"/>
        <v>4.2</v>
      </c>
      <c r="I26" s="2">
        <f t="shared" si="4"/>
        <v>0.8366600265</v>
      </c>
    </row>
    <row r="27" ht="18.0" customHeight="1">
      <c r="A27" s="2" t="s">
        <v>140</v>
      </c>
      <c r="B27" s="4">
        <v>4.0</v>
      </c>
      <c r="C27" s="5"/>
      <c r="D27" s="4">
        <v>2.0</v>
      </c>
      <c r="E27" s="4">
        <v>4.0</v>
      </c>
      <c r="F27" s="4">
        <v>5.0</v>
      </c>
      <c r="G27" s="4">
        <v>5.0</v>
      </c>
      <c r="H27" s="2">
        <f t="shared" si="3"/>
        <v>4</v>
      </c>
      <c r="I27" s="2">
        <f t="shared" si="4"/>
        <v>1.224744871</v>
      </c>
    </row>
    <row r="28" ht="18.0" customHeight="1">
      <c r="A28" s="2" t="s">
        <v>141</v>
      </c>
      <c r="B28" s="4">
        <v>3.0</v>
      </c>
      <c r="C28" s="5"/>
      <c r="D28" s="4">
        <v>3.0</v>
      </c>
      <c r="E28" s="4">
        <v>4.0</v>
      </c>
      <c r="F28" s="4">
        <v>3.0</v>
      </c>
      <c r="G28" s="4">
        <v>3.0</v>
      </c>
      <c r="H28" s="2">
        <f t="shared" si="3"/>
        <v>3.2</v>
      </c>
      <c r="I28" s="2">
        <f t="shared" si="4"/>
        <v>0.4472135955</v>
      </c>
    </row>
    <row r="29" ht="18.0" customHeight="1">
      <c r="A29" s="2" t="s">
        <v>142</v>
      </c>
      <c r="B29" s="4">
        <v>4.0</v>
      </c>
      <c r="C29" s="5"/>
      <c r="D29" s="4">
        <v>4.0</v>
      </c>
      <c r="E29" s="4">
        <v>4.0</v>
      </c>
      <c r="F29" s="4">
        <v>5.0</v>
      </c>
      <c r="G29" s="4">
        <v>3.0</v>
      </c>
      <c r="H29" s="2">
        <f t="shared" si="3"/>
        <v>4</v>
      </c>
      <c r="I29" s="2">
        <f t="shared" si="4"/>
        <v>0.7071067812</v>
      </c>
    </row>
    <row r="30" ht="18.0" customHeight="1">
      <c r="A30" s="2" t="s">
        <v>143</v>
      </c>
      <c r="B30" s="4">
        <v>4.0</v>
      </c>
      <c r="C30" s="5"/>
      <c r="D30" s="4">
        <v>4.0</v>
      </c>
      <c r="E30" s="4">
        <v>4.0</v>
      </c>
      <c r="F30" s="4">
        <v>5.0</v>
      </c>
      <c r="G30" s="4">
        <v>4.0</v>
      </c>
      <c r="H30" s="2">
        <f t="shared" si="3"/>
        <v>4.2</v>
      </c>
      <c r="I30" s="2">
        <f t="shared" si="4"/>
        <v>0.4472135955</v>
      </c>
    </row>
    <row r="31" ht="18.0" customHeight="1">
      <c r="A31" s="2" t="s">
        <v>144</v>
      </c>
      <c r="B31" s="4">
        <v>4.0</v>
      </c>
      <c r="C31" s="5"/>
      <c r="D31" s="4">
        <v>3.0</v>
      </c>
      <c r="E31" s="4">
        <v>4.0</v>
      </c>
      <c r="F31" s="4">
        <v>4.0</v>
      </c>
      <c r="G31" s="4">
        <v>5.0</v>
      </c>
      <c r="H31" s="2">
        <f t="shared" si="3"/>
        <v>4</v>
      </c>
      <c r="I31" s="2">
        <f t="shared" si="4"/>
        <v>0.7071067812</v>
      </c>
    </row>
    <row r="32" ht="18.0" customHeight="1">
      <c r="A32" s="2" t="s">
        <v>145</v>
      </c>
      <c r="B32" s="4">
        <v>4.0</v>
      </c>
      <c r="C32" s="5"/>
      <c r="D32" s="4">
        <v>4.0</v>
      </c>
      <c r="E32" s="4">
        <v>4.0</v>
      </c>
      <c r="F32" s="4">
        <v>5.0</v>
      </c>
      <c r="G32" s="4">
        <v>4.0</v>
      </c>
      <c r="H32" s="2">
        <f t="shared" si="3"/>
        <v>4.2</v>
      </c>
      <c r="I32" s="2">
        <f t="shared" si="4"/>
        <v>0.4472135955</v>
      </c>
    </row>
    <row r="33" ht="18.0" customHeight="1">
      <c r="A33" s="2" t="s">
        <v>146</v>
      </c>
      <c r="B33" s="4">
        <v>4.0</v>
      </c>
      <c r="C33" s="5"/>
      <c r="D33" s="4">
        <v>4.0</v>
      </c>
      <c r="E33" s="4">
        <v>4.0</v>
      </c>
      <c r="F33" s="4">
        <v>4.0</v>
      </c>
      <c r="G33" s="4">
        <v>3.0</v>
      </c>
      <c r="H33" s="2">
        <f t="shared" si="3"/>
        <v>3.8</v>
      </c>
      <c r="I33" s="2">
        <f t="shared" si="4"/>
        <v>0.4472135955</v>
      </c>
    </row>
    <row r="34" ht="18.0" customHeight="1">
      <c r="A34" s="2" t="s">
        <v>147</v>
      </c>
      <c r="B34" s="4">
        <v>4.0</v>
      </c>
      <c r="C34" s="5"/>
      <c r="D34" s="4">
        <v>4.0</v>
      </c>
      <c r="E34" s="4">
        <v>4.0</v>
      </c>
      <c r="F34" s="4">
        <v>5.0</v>
      </c>
      <c r="G34" s="4">
        <v>3.0</v>
      </c>
      <c r="H34" s="2">
        <f t="shared" si="3"/>
        <v>4</v>
      </c>
      <c r="I34" s="2">
        <f t="shared" si="4"/>
        <v>0.7071067812</v>
      </c>
    </row>
    <row r="35" ht="18.0" customHeight="1">
      <c r="A35" s="2" t="s">
        <v>148</v>
      </c>
      <c r="B35" s="4">
        <v>3.0</v>
      </c>
      <c r="C35" s="5"/>
      <c r="D35" s="4">
        <v>4.0</v>
      </c>
      <c r="E35" s="4">
        <v>4.0</v>
      </c>
      <c r="F35" s="4">
        <v>4.0</v>
      </c>
      <c r="G35" s="4">
        <v>3.0</v>
      </c>
      <c r="H35" s="2">
        <f t="shared" si="3"/>
        <v>3.6</v>
      </c>
      <c r="I35" s="2">
        <f t="shared" si="4"/>
        <v>0.5477225575</v>
      </c>
    </row>
    <row r="36" ht="18.0" customHeight="1">
      <c r="A36" s="2" t="s">
        <v>149</v>
      </c>
      <c r="B36" s="4">
        <v>5.0</v>
      </c>
      <c r="C36" s="5"/>
      <c r="D36" s="4">
        <v>4.0</v>
      </c>
      <c r="E36" s="4">
        <v>4.0</v>
      </c>
      <c r="F36" s="4">
        <v>5.0</v>
      </c>
      <c r="G36" s="4">
        <v>3.0</v>
      </c>
      <c r="H36" s="2">
        <f t="shared" si="3"/>
        <v>4.2</v>
      </c>
      <c r="I36" s="2">
        <f t="shared" si="4"/>
        <v>0.8366600265</v>
      </c>
    </row>
    <row r="37" ht="18.0" customHeight="1">
      <c r="A37" s="2" t="s">
        <v>150</v>
      </c>
      <c r="B37" s="4">
        <v>3.0</v>
      </c>
      <c r="C37" s="5"/>
      <c r="D37" s="4">
        <v>4.0</v>
      </c>
      <c r="E37" s="4">
        <v>4.0</v>
      </c>
      <c r="F37" s="4">
        <v>3.0</v>
      </c>
      <c r="G37" s="4">
        <v>3.0</v>
      </c>
      <c r="H37" s="2">
        <f t="shared" si="3"/>
        <v>3.4</v>
      </c>
      <c r="I37" s="2">
        <f t="shared" si="4"/>
        <v>0.5477225575</v>
      </c>
    </row>
    <row r="38" ht="18.0" customHeight="1">
      <c r="A38" s="2" t="s">
        <v>151</v>
      </c>
      <c r="B38" s="4">
        <v>5.0</v>
      </c>
      <c r="C38" s="5"/>
      <c r="D38" s="4">
        <v>5.0</v>
      </c>
      <c r="E38" s="4">
        <v>4.0</v>
      </c>
      <c r="F38" s="4">
        <v>5.0</v>
      </c>
      <c r="H38" s="2">
        <f t="shared" si="3"/>
        <v>4.75</v>
      </c>
      <c r="I38" s="2">
        <f t="shared" si="4"/>
        <v>0.5</v>
      </c>
    </row>
    <row r="39" ht="18.0" customHeight="1">
      <c r="A39" s="2" t="s">
        <v>152</v>
      </c>
      <c r="B39" s="4">
        <v>4.0</v>
      </c>
      <c r="C39" s="5"/>
      <c r="D39" s="4">
        <v>4.0</v>
      </c>
      <c r="E39" s="4">
        <v>4.0</v>
      </c>
      <c r="F39" s="4">
        <v>4.0</v>
      </c>
      <c r="G39" s="4">
        <v>4.0</v>
      </c>
      <c r="H39" s="2">
        <f t="shared" si="3"/>
        <v>4</v>
      </c>
      <c r="I39" s="2">
        <f t="shared" si="4"/>
        <v>0</v>
      </c>
    </row>
    <row r="40" ht="18.0" customHeight="1">
      <c r="A40" s="2" t="s">
        <v>153</v>
      </c>
      <c r="B40" s="4">
        <v>4.0</v>
      </c>
      <c r="C40" s="5"/>
      <c r="D40" s="4">
        <v>4.0</v>
      </c>
      <c r="E40" s="4">
        <v>4.0</v>
      </c>
      <c r="F40" s="4">
        <v>4.0</v>
      </c>
      <c r="G40" s="4">
        <v>4.0</v>
      </c>
      <c r="H40" s="2">
        <f t="shared" si="3"/>
        <v>4</v>
      </c>
      <c r="I40" s="2">
        <f t="shared" si="4"/>
        <v>0</v>
      </c>
    </row>
    <row r="41" ht="18.0" customHeight="1">
      <c r="A41" s="2" t="s">
        <v>154</v>
      </c>
      <c r="B41" s="4">
        <v>4.0</v>
      </c>
      <c r="C41" s="6"/>
      <c r="D41" s="4">
        <v>4.0</v>
      </c>
      <c r="E41" s="4">
        <v>4.0</v>
      </c>
      <c r="F41" s="4">
        <v>5.0</v>
      </c>
      <c r="G41" s="4">
        <v>3.0</v>
      </c>
      <c r="H41" s="2">
        <f t="shared" si="3"/>
        <v>4</v>
      </c>
      <c r="I41" s="2">
        <f t="shared" si="4"/>
        <v>0.7071067812</v>
      </c>
    </row>
    <row r="42" ht="18.0" customHeight="1">
      <c r="A42" s="2" t="s">
        <v>155</v>
      </c>
      <c r="B42" s="4">
        <v>5.0</v>
      </c>
      <c r="C42" s="4">
        <v>5.0</v>
      </c>
      <c r="D42" s="3"/>
      <c r="E42" s="4">
        <v>4.0</v>
      </c>
      <c r="F42" s="4">
        <v>5.0</v>
      </c>
      <c r="G42" s="4">
        <v>4.0</v>
      </c>
      <c r="H42" s="2">
        <f t="shared" ref="H42:H61" si="5">AVERAGE(B42:C42,E42:G42)</f>
        <v>4.6</v>
      </c>
      <c r="I42" s="2">
        <f t="shared" ref="I42:I61" si="6">STDEV(B42:C42,E42:G42)</f>
        <v>0.5477225575</v>
      </c>
    </row>
    <row r="43" ht="18.0" customHeight="1">
      <c r="A43" s="2" t="s">
        <v>156</v>
      </c>
      <c r="B43" s="4">
        <v>4.0</v>
      </c>
      <c r="C43" s="4">
        <v>6.0</v>
      </c>
      <c r="D43" s="5"/>
      <c r="E43" s="4">
        <v>4.0</v>
      </c>
      <c r="F43" s="4">
        <v>6.0</v>
      </c>
      <c r="G43" s="4">
        <v>4.0</v>
      </c>
      <c r="H43" s="2">
        <f t="shared" si="5"/>
        <v>4.8</v>
      </c>
      <c r="I43" s="2">
        <f t="shared" si="6"/>
        <v>1.095445115</v>
      </c>
    </row>
    <row r="44" ht="18.0" customHeight="1">
      <c r="A44" s="2" t="s">
        <v>157</v>
      </c>
      <c r="B44" s="4">
        <v>4.0</v>
      </c>
      <c r="C44" s="4">
        <v>5.0</v>
      </c>
      <c r="D44" s="5"/>
      <c r="E44" s="4">
        <v>4.0</v>
      </c>
      <c r="F44" s="4">
        <v>5.0</v>
      </c>
      <c r="G44" s="4">
        <v>4.0</v>
      </c>
      <c r="H44" s="2">
        <f t="shared" si="5"/>
        <v>4.4</v>
      </c>
      <c r="I44" s="2">
        <f t="shared" si="6"/>
        <v>0.5477225575</v>
      </c>
    </row>
    <row r="45" ht="18.0" customHeight="1">
      <c r="A45" s="2" t="s">
        <v>158</v>
      </c>
      <c r="B45" s="4">
        <v>4.0</v>
      </c>
      <c r="C45" s="4">
        <v>4.0</v>
      </c>
      <c r="D45" s="5"/>
      <c r="E45" s="4">
        <v>5.0</v>
      </c>
      <c r="F45" s="4">
        <v>4.0</v>
      </c>
      <c r="G45" s="4">
        <v>4.0</v>
      </c>
      <c r="H45" s="2">
        <f t="shared" si="5"/>
        <v>4.2</v>
      </c>
      <c r="I45" s="2">
        <f t="shared" si="6"/>
        <v>0.4472135955</v>
      </c>
    </row>
    <row r="46" ht="18.0" customHeight="1">
      <c r="A46" s="2" t="s">
        <v>159</v>
      </c>
      <c r="B46" s="4">
        <v>3.0</v>
      </c>
      <c r="C46" s="4">
        <v>4.0</v>
      </c>
      <c r="D46" s="5"/>
      <c r="E46" s="4">
        <v>4.0</v>
      </c>
      <c r="F46" s="4">
        <v>4.0</v>
      </c>
      <c r="G46" s="4">
        <v>4.0</v>
      </c>
      <c r="H46" s="2">
        <f t="shared" si="5"/>
        <v>3.8</v>
      </c>
      <c r="I46" s="2">
        <f t="shared" si="6"/>
        <v>0.4472135955</v>
      </c>
    </row>
    <row r="47" ht="18.0" customHeight="1">
      <c r="A47" s="2" t="s">
        <v>160</v>
      </c>
      <c r="B47" s="4">
        <v>4.0</v>
      </c>
      <c r="C47" s="4">
        <v>4.0</v>
      </c>
      <c r="D47" s="5"/>
      <c r="E47" s="4">
        <v>4.0</v>
      </c>
      <c r="F47" s="4">
        <v>4.0</v>
      </c>
      <c r="G47" s="4">
        <v>3.0</v>
      </c>
      <c r="H47" s="2">
        <f t="shared" si="5"/>
        <v>3.8</v>
      </c>
      <c r="I47" s="2">
        <f t="shared" si="6"/>
        <v>0.4472135955</v>
      </c>
    </row>
    <row r="48" ht="18.0" customHeight="1">
      <c r="A48" s="2" t="s">
        <v>161</v>
      </c>
      <c r="B48" s="4">
        <v>4.0</v>
      </c>
      <c r="C48" s="4">
        <v>4.0</v>
      </c>
      <c r="D48" s="5"/>
      <c r="E48" s="4">
        <v>4.0</v>
      </c>
      <c r="F48" s="4">
        <v>4.0</v>
      </c>
      <c r="G48" s="4">
        <v>4.0</v>
      </c>
      <c r="H48" s="2">
        <f t="shared" si="5"/>
        <v>4</v>
      </c>
      <c r="I48" s="2">
        <f t="shared" si="6"/>
        <v>0</v>
      </c>
    </row>
    <row r="49" ht="18.0" customHeight="1">
      <c r="A49" s="2" t="s">
        <v>162</v>
      </c>
      <c r="B49" s="4">
        <v>5.0</v>
      </c>
      <c r="C49" s="4">
        <v>4.0</v>
      </c>
      <c r="D49" s="5"/>
      <c r="E49" s="4">
        <v>4.0</v>
      </c>
      <c r="F49" s="4">
        <v>4.0</v>
      </c>
      <c r="G49" s="4">
        <v>4.0</v>
      </c>
      <c r="H49" s="2">
        <f t="shared" si="5"/>
        <v>4.2</v>
      </c>
      <c r="I49" s="2">
        <f t="shared" si="6"/>
        <v>0.4472135955</v>
      </c>
    </row>
    <row r="50" ht="18.0" customHeight="1">
      <c r="A50" s="2" t="s">
        <v>163</v>
      </c>
      <c r="B50" s="4">
        <v>4.0</v>
      </c>
      <c r="C50" s="4">
        <v>4.0</v>
      </c>
      <c r="D50" s="5"/>
      <c r="E50" s="4">
        <v>4.0</v>
      </c>
      <c r="F50" s="4">
        <v>4.0</v>
      </c>
      <c r="G50" s="4">
        <v>4.0</v>
      </c>
      <c r="H50" s="2">
        <f t="shared" si="5"/>
        <v>4</v>
      </c>
      <c r="I50" s="2">
        <f t="shared" si="6"/>
        <v>0</v>
      </c>
    </row>
    <row r="51" ht="18.0" customHeight="1">
      <c r="A51" s="2" t="s">
        <v>164</v>
      </c>
      <c r="B51" s="4">
        <v>3.0</v>
      </c>
      <c r="C51" s="4">
        <v>5.0</v>
      </c>
      <c r="D51" s="5"/>
      <c r="E51" s="4">
        <v>4.0</v>
      </c>
      <c r="F51" s="4">
        <v>4.0</v>
      </c>
      <c r="G51" s="4">
        <v>4.0</v>
      </c>
      <c r="H51" s="2">
        <f t="shared" si="5"/>
        <v>4</v>
      </c>
      <c r="I51" s="2">
        <f t="shared" si="6"/>
        <v>0.7071067812</v>
      </c>
    </row>
    <row r="52" ht="18.0" customHeight="1">
      <c r="A52" s="2" t="s">
        <v>165</v>
      </c>
      <c r="B52" s="4">
        <v>4.0</v>
      </c>
      <c r="C52" s="4">
        <v>4.0</v>
      </c>
      <c r="D52" s="5"/>
      <c r="E52" s="4">
        <v>4.0</v>
      </c>
      <c r="F52" s="4">
        <v>4.0</v>
      </c>
      <c r="G52" s="4">
        <v>4.0</v>
      </c>
      <c r="H52" s="2">
        <f t="shared" si="5"/>
        <v>4</v>
      </c>
      <c r="I52" s="2">
        <f t="shared" si="6"/>
        <v>0</v>
      </c>
    </row>
    <row r="53" ht="18.0" customHeight="1">
      <c r="A53" s="2" t="s">
        <v>166</v>
      </c>
      <c r="B53" s="4">
        <v>5.0</v>
      </c>
      <c r="C53" s="4">
        <v>4.0</v>
      </c>
      <c r="D53" s="5"/>
      <c r="E53" s="4">
        <v>4.0</v>
      </c>
      <c r="F53" s="4">
        <v>4.0</v>
      </c>
      <c r="G53" s="4">
        <v>3.0</v>
      </c>
      <c r="H53" s="2">
        <f t="shared" si="5"/>
        <v>4</v>
      </c>
      <c r="I53" s="2">
        <f t="shared" si="6"/>
        <v>0.7071067812</v>
      </c>
    </row>
    <row r="54" ht="18.0" customHeight="1">
      <c r="A54" s="2" t="s">
        <v>167</v>
      </c>
      <c r="B54" s="4">
        <v>4.0</v>
      </c>
      <c r="C54" s="4">
        <v>4.0</v>
      </c>
      <c r="D54" s="5"/>
      <c r="E54" s="4">
        <v>4.0</v>
      </c>
      <c r="F54" s="4">
        <v>4.0</v>
      </c>
      <c r="G54" s="4">
        <v>3.0</v>
      </c>
      <c r="H54" s="2">
        <f t="shared" si="5"/>
        <v>3.8</v>
      </c>
      <c r="I54" s="2">
        <f t="shared" si="6"/>
        <v>0.4472135955</v>
      </c>
    </row>
    <row r="55" ht="18.0" customHeight="1">
      <c r="A55" s="2" t="s">
        <v>168</v>
      </c>
      <c r="B55" s="4">
        <v>4.0</v>
      </c>
      <c r="C55" s="4">
        <v>5.0</v>
      </c>
      <c r="D55" s="5"/>
      <c r="E55" s="4">
        <v>4.0</v>
      </c>
      <c r="F55" s="4">
        <v>5.0</v>
      </c>
      <c r="G55" s="4">
        <v>3.0</v>
      </c>
      <c r="H55" s="2">
        <f t="shared" si="5"/>
        <v>4.2</v>
      </c>
      <c r="I55" s="2">
        <f t="shared" si="6"/>
        <v>0.8366600265</v>
      </c>
    </row>
    <row r="56" ht="18.0" customHeight="1">
      <c r="A56" s="2" t="s">
        <v>169</v>
      </c>
      <c r="B56" s="4">
        <v>5.0</v>
      </c>
      <c r="C56" s="4">
        <v>6.0</v>
      </c>
      <c r="D56" s="5"/>
      <c r="E56" s="4">
        <v>5.0</v>
      </c>
      <c r="F56" s="4">
        <v>5.0</v>
      </c>
      <c r="G56" s="4">
        <v>3.0</v>
      </c>
      <c r="H56" s="2">
        <f t="shared" si="5"/>
        <v>4.8</v>
      </c>
      <c r="I56" s="2">
        <f t="shared" si="6"/>
        <v>1.095445115</v>
      </c>
    </row>
    <row r="57" ht="18.0" customHeight="1">
      <c r="A57" s="2" t="s">
        <v>170</v>
      </c>
      <c r="B57" s="4">
        <v>5.0</v>
      </c>
      <c r="C57" s="4">
        <v>5.0</v>
      </c>
      <c r="D57" s="5"/>
      <c r="E57" s="4">
        <v>5.0</v>
      </c>
      <c r="F57" s="4">
        <v>5.0</v>
      </c>
      <c r="G57" s="4">
        <v>5.0</v>
      </c>
      <c r="H57" s="2">
        <f t="shared" si="5"/>
        <v>5</v>
      </c>
      <c r="I57" s="2">
        <f t="shared" si="6"/>
        <v>0</v>
      </c>
    </row>
    <row r="58" ht="18.0" customHeight="1">
      <c r="A58" s="2" t="s">
        <v>171</v>
      </c>
      <c r="B58" s="4">
        <v>4.0</v>
      </c>
      <c r="C58" s="4">
        <v>5.0</v>
      </c>
      <c r="D58" s="5"/>
      <c r="E58" s="4">
        <v>5.0</v>
      </c>
      <c r="F58" s="4">
        <v>6.0</v>
      </c>
      <c r="G58" s="4">
        <v>5.0</v>
      </c>
      <c r="H58" s="2">
        <f t="shared" si="5"/>
        <v>5</v>
      </c>
      <c r="I58" s="2">
        <f t="shared" si="6"/>
        <v>0.7071067812</v>
      </c>
    </row>
    <row r="59" ht="18.0" customHeight="1">
      <c r="A59" s="2" t="s">
        <v>172</v>
      </c>
      <c r="B59" s="4">
        <v>4.0</v>
      </c>
      <c r="C59" s="4">
        <v>4.0</v>
      </c>
      <c r="D59" s="5"/>
      <c r="E59" s="4">
        <v>4.0</v>
      </c>
      <c r="F59" s="4">
        <v>4.0</v>
      </c>
      <c r="G59" s="4">
        <v>3.0</v>
      </c>
      <c r="H59" s="2">
        <f t="shared" si="5"/>
        <v>3.8</v>
      </c>
      <c r="I59" s="2">
        <f t="shared" si="6"/>
        <v>0.4472135955</v>
      </c>
    </row>
    <row r="60" ht="18.0" customHeight="1">
      <c r="A60" s="2" t="s">
        <v>173</v>
      </c>
      <c r="B60" s="4">
        <v>5.0</v>
      </c>
      <c r="C60" s="4">
        <v>5.0</v>
      </c>
      <c r="D60" s="5"/>
      <c r="E60" s="4">
        <v>4.0</v>
      </c>
      <c r="F60" s="4">
        <v>4.0</v>
      </c>
      <c r="G60" s="4">
        <v>3.0</v>
      </c>
      <c r="H60" s="2">
        <f t="shared" si="5"/>
        <v>4.2</v>
      </c>
      <c r="I60" s="2">
        <f t="shared" si="6"/>
        <v>0.8366600265</v>
      </c>
    </row>
    <row r="61" ht="18.0" customHeight="1">
      <c r="A61" s="2" t="s">
        <v>174</v>
      </c>
      <c r="B61" s="4">
        <v>6.0</v>
      </c>
      <c r="C61" s="4">
        <v>6.0</v>
      </c>
      <c r="D61" s="6"/>
      <c r="E61" s="4">
        <v>5.0</v>
      </c>
      <c r="F61" s="4">
        <v>5.0</v>
      </c>
      <c r="G61" s="4">
        <v>4.0</v>
      </c>
      <c r="H61" s="2">
        <f t="shared" si="5"/>
        <v>5.2</v>
      </c>
      <c r="I61" s="2">
        <f t="shared" si="6"/>
        <v>0.8366600265</v>
      </c>
    </row>
    <row r="62" ht="18.0" customHeight="1">
      <c r="A62" s="2" t="s">
        <v>175</v>
      </c>
      <c r="B62" s="4">
        <v>4.0</v>
      </c>
      <c r="C62" s="4">
        <v>4.0</v>
      </c>
      <c r="D62" s="4">
        <v>4.0</v>
      </c>
      <c r="E62" s="3"/>
      <c r="F62" s="4">
        <v>4.0</v>
      </c>
      <c r="G62" s="4">
        <v>4.0</v>
      </c>
      <c r="H62" s="2">
        <f t="shared" ref="H62:H81" si="7">AVERAGE(B62:D62,F62:G62)</f>
        <v>4</v>
      </c>
      <c r="I62" s="2">
        <f t="shared" ref="I62:I81" si="8">STDEV(B62:D62,F62:G62)</f>
        <v>0</v>
      </c>
    </row>
    <row r="63" ht="18.0" customHeight="1">
      <c r="A63" s="2" t="s">
        <v>176</v>
      </c>
      <c r="B63" s="4">
        <v>4.0</v>
      </c>
      <c r="C63" s="4">
        <v>4.0</v>
      </c>
      <c r="D63" s="4">
        <v>5.0</v>
      </c>
      <c r="E63" s="5"/>
      <c r="F63" s="4">
        <v>5.0</v>
      </c>
      <c r="G63" s="4">
        <v>4.0</v>
      </c>
      <c r="H63" s="2">
        <f t="shared" si="7"/>
        <v>4.4</v>
      </c>
      <c r="I63" s="2">
        <f t="shared" si="8"/>
        <v>0.5477225575</v>
      </c>
    </row>
    <row r="64" ht="18.0" customHeight="1">
      <c r="A64" s="2" t="s">
        <v>177</v>
      </c>
      <c r="B64" s="4">
        <v>4.0</v>
      </c>
      <c r="C64" s="4">
        <v>4.0</v>
      </c>
      <c r="D64" s="4">
        <v>3.0</v>
      </c>
      <c r="E64" s="5"/>
      <c r="F64" s="4">
        <v>4.0</v>
      </c>
      <c r="G64" s="4">
        <v>4.0</v>
      </c>
      <c r="H64" s="2">
        <f t="shared" si="7"/>
        <v>3.8</v>
      </c>
      <c r="I64" s="2">
        <f t="shared" si="8"/>
        <v>0.4472135955</v>
      </c>
      <c r="J64" s="4" t="s">
        <v>178</v>
      </c>
    </row>
    <row r="65" ht="18.0" customHeight="1">
      <c r="A65" s="2" t="s">
        <v>179</v>
      </c>
      <c r="B65" s="4">
        <v>4.0</v>
      </c>
      <c r="C65" s="4">
        <v>4.0</v>
      </c>
      <c r="D65" s="4">
        <v>4.0</v>
      </c>
      <c r="E65" s="5"/>
      <c r="F65" s="4">
        <v>4.0</v>
      </c>
      <c r="G65" s="4">
        <v>3.0</v>
      </c>
      <c r="H65" s="2">
        <f t="shared" si="7"/>
        <v>3.8</v>
      </c>
      <c r="I65" s="2">
        <f t="shared" si="8"/>
        <v>0.4472135955</v>
      </c>
    </row>
    <row r="66" ht="18.0" customHeight="1">
      <c r="A66" s="2" t="s">
        <v>180</v>
      </c>
      <c r="B66" s="4">
        <v>4.0</v>
      </c>
      <c r="C66" s="4">
        <v>4.0</v>
      </c>
      <c r="D66" s="4">
        <v>3.0</v>
      </c>
      <c r="E66" s="5"/>
      <c r="F66" s="4">
        <v>4.0</v>
      </c>
      <c r="G66" s="4">
        <v>3.0</v>
      </c>
      <c r="H66" s="2">
        <f t="shared" si="7"/>
        <v>3.6</v>
      </c>
      <c r="I66" s="2">
        <f t="shared" si="8"/>
        <v>0.5477225575</v>
      </c>
    </row>
    <row r="67" ht="18.0" customHeight="1">
      <c r="A67" s="2" t="s">
        <v>181</v>
      </c>
      <c r="B67" s="4">
        <v>5.0</v>
      </c>
      <c r="C67" s="4">
        <v>4.0</v>
      </c>
      <c r="D67" s="4">
        <v>4.0</v>
      </c>
      <c r="E67" s="5"/>
      <c r="F67" s="4">
        <v>4.0</v>
      </c>
      <c r="G67" s="4">
        <v>4.0</v>
      </c>
      <c r="H67" s="2">
        <f t="shared" si="7"/>
        <v>4.2</v>
      </c>
      <c r="I67" s="2">
        <f t="shared" si="8"/>
        <v>0.4472135955</v>
      </c>
    </row>
    <row r="68" ht="18.0" customHeight="1">
      <c r="A68" s="2" t="s">
        <v>182</v>
      </c>
      <c r="B68" s="4">
        <v>4.0</v>
      </c>
      <c r="C68" s="4">
        <v>5.0</v>
      </c>
      <c r="D68" s="4">
        <v>4.0</v>
      </c>
      <c r="E68" s="5"/>
      <c r="F68" s="4">
        <v>4.0</v>
      </c>
      <c r="G68" s="4">
        <v>4.0</v>
      </c>
      <c r="H68" s="2">
        <f t="shared" si="7"/>
        <v>4.2</v>
      </c>
      <c r="I68" s="2">
        <f t="shared" si="8"/>
        <v>0.4472135955</v>
      </c>
    </row>
    <row r="69" ht="18.0" customHeight="1">
      <c r="A69" s="2" t="s">
        <v>183</v>
      </c>
      <c r="B69" s="4">
        <v>4.0</v>
      </c>
      <c r="C69" s="4">
        <v>4.0</v>
      </c>
      <c r="D69" s="4">
        <v>4.0</v>
      </c>
      <c r="E69" s="5"/>
      <c r="F69" s="4">
        <v>5.0</v>
      </c>
      <c r="G69" s="4">
        <v>4.0</v>
      </c>
      <c r="H69" s="2">
        <f t="shared" si="7"/>
        <v>4.2</v>
      </c>
      <c r="I69" s="2">
        <f t="shared" si="8"/>
        <v>0.4472135955</v>
      </c>
    </row>
    <row r="70" ht="18.0" customHeight="1">
      <c r="A70" s="2" t="s">
        <v>184</v>
      </c>
      <c r="B70" s="4">
        <v>4.0</v>
      </c>
      <c r="C70" s="4">
        <v>4.0</v>
      </c>
      <c r="D70" s="4">
        <v>3.0</v>
      </c>
      <c r="E70" s="5"/>
      <c r="F70" s="4">
        <v>4.0</v>
      </c>
      <c r="G70" s="4">
        <v>4.0</v>
      </c>
      <c r="H70" s="2">
        <f t="shared" si="7"/>
        <v>3.8</v>
      </c>
      <c r="I70" s="2">
        <f t="shared" si="8"/>
        <v>0.4472135955</v>
      </c>
    </row>
    <row r="71" ht="18.0" customHeight="1">
      <c r="A71" s="2" t="s">
        <v>185</v>
      </c>
      <c r="B71" s="4">
        <v>4.0</v>
      </c>
      <c r="C71" s="4">
        <v>4.0</v>
      </c>
      <c r="D71" s="4">
        <v>3.0</v>
      </c>
      <c r="E71" s="5"/>
      <c r="F71" s="4">
        <v>4.0</v>
      </c>
      <c r="G71" s="4">
        <v>5.0</v>
      </c>
      <c r="H71" s="2">
        <f t="shared" si="7"/>
        <v>4</v>
      </c>
      <c r="I71" s="2">
        <f t="shared" si="8"/>
        <v>0.7071067812</v>
      </c>
    </row>
    <row r="72" ht="18.0" customHeight="1">
      <c r="A72" s="2" t="s">
        <v>186</v>
      </c>
      <c r="B72" s="4">
        <v>4.0</v>
      </c>
      <c r="C72" s="4">
        <v>4.0</v>
      </c>
      <c r="D72" s="4">
        <v>3.0</v>
      </c>
      <c r="E72" s="5"/>
      <c r="F72" s="4">
        <v>4.0</v>
      </c>
      <c r="G72" s="4">
        <v>5.0</v>
      </c>
      <c r="H72" s="2">
        <f t="shared" si="7"/>
        <v>4</v>
      </c>
      <c r="I72" s="2">
        <f t="shared" si="8"/>
        <v>0.7071067812</v>
      </c>
    </row>
    <row r="73" ht="18.0" customHeight="1">
      <c r="A73" s="2" t="s">
        <v>187</v>
      </c>
      <c r="B73" s="4">
        <v>4.0</v>
      </c>
      <c r="C73" s="4">
        <v>4.0</v>
      </c>
      <c r="D73" s="4">
        <v>5.0</v>
      </c>
      <c r="E73" s="5"/>
      <c r="F73" s="4">
        <v>4.0</v>
      </c>
      <c r="G73" s="4">
        <v>5.0</v>
      </c>
      <c r="H73" s="2">
        <f t="shared" si="7"/>
        <v>4.4</v>
      </c>
      <c r="I73" s="2">
        <f t="shared" si="8"/>
        <v>0.5477225575</v>
      </c>
    </row>
    <row r="74" ht="18.0" customHeight="1">
      <c r="A74" s="2" t="s">
        <v>188</v>
      </c>
      <c r="B74" s="4">
        <v>5.0</v>
      </c>
      <c r="C74" s="4">
        <v>4.0</v>
      </c>
      <c r="D74" s="4">
        <v>4.0</v>
      </c>
      <c r="E74" s="5"/>
      <c r="F74" s="4">
        <v>4.0</v>
      </c>
      <c r="G74" s="4">
        <v>5.0</v>
      </c>
      <c r="H74" s="2">
        <f t="shared" si="7"/>
        <v>4.4</v>
      </c>
      <c r="I74" s="2">
        <f t="shared" si="8"/>
        <v>0.5477225575</v>
      </c>
    </row>
    <row r="75" ht="18.0" customHeight="1">
      <c r="A75" s="2" t="s">
        <v>189</v>
      </c>
      <c r="B75" s="4">
        <v>5.0</v>
      </c>
      <c r="C75" s="4">
        <v>5.0</v>
      </c>
      <c r="D75" s="4">
        <v>5.0</v>
      </c>
      <c r="E75" s="5"/>
      <c r="F75" s="4">
        <v>5.0</v>
      </c>
      <c r="G75" s="4">
        <v>4.0</v>
      </c>
      <c r="H75" s="2">
        <f t="shared" si="7"/>
        <v>4.8</v>
      </c>
      <c r="I75" s="2">
        <f t="shared" si="8"/>
        <v>0.4472135955</v>
      </c>
    </row>
    <row r="76" ht="18.0" customHeight="1">
      <c r="A76" s="2" t="s">
        <v>190</v>
      </c>
      <c r="B76" s="4">
        <v>4.0</v>
      </c>
      <c r="C76" s="4">
        <v>4.0</v>
      </c>
      <c r="D76" s="4">
        <v>4.0</v>
      </c>
      <c r="E76" s="5"/>
      <c r="F76" s="4">
        <v>4.0</v>
      </c>
      <c r="G76" s="4">
        <v>4.0</v>
      </c>
      <c r="H76" s="2">
        <f t="shared" si="7"/>
        <v>4</v>
      </c>
      <c r="I76" s="2">
        <f t="shared" si="8"/>
        <v>0</v>
      </c>
    </row>
    <row r="77" ht="18.0" customHeight="1">
      <c r="A77" s="2" t="s">
        <v>191</v>
      </c>
      <c r="B77" s="4">
        <v>5.0</v>
      </c>
      <c r="C77" s="4">
        <v>4.0</v>
      </c>
      <c r="D77" s="4">
        <v>4.0</v>
      </c>
      <c r="E77" s="5"/>
      <c r="F77" s="4">
        <v>4.0</v>
      </c>
      <c r="G77" s="4">
        <v>5.0</v>
      </c>
      <c r="H77" s="2">
        <f t="shared" si="7"/>
        <v>4.4</v>
      </c>
      <c r="I77" s="2">
        <f t="shared" si="8"/>
        <v>0.5477225575</v>
      </c>
    </row>
    <row r="78" ht="18.0" customHeight="1">
      <c r="A78" s="2" t="s">
        <v>192</v>
      </c>
      <c r="B78" s="4">
        <v>4.0</v>
      </c>
      <c r="C78" s="4">
        <v>4.0</v>
      </c>
      <c r="D78" s="4">
        <v>3.0</v>
      </c>
      <c r="E78" s="5"/>
      <c r="F78" s="4">
        <v>4.0</v>
      </c>
      <c r="G78" s="4">
        <v>4.0</v>
      </c>
      <c r="H78" s="2">
        <f t="shared" si="7"/>
        <v>3.8</v>
      </c>
      <c r="I78" s="2">
        <f t="shared" si="8"/>
        <v>0.4472135955</v>
      </c>
    </row>
    <row r="79" ht="18.0" customHeight="1">
      <c r="A79" s="2" t="s">
        <v>193</v>
      </c>
      <c r="B79" s="4">
        <v>4.0</v>
      </c>
      <c r="C79" s="4">
        <v>4.0</v>
      </c>
      <c r="D79" s="4">
        <v>3.0</v>
      </c>
      <c r="E79" s="5"/>
      <c r="F79" s="4">
        <v>4.0</v>
      </c>
      <c r="G79" s="4">
        <v>4.0</v>
      </c>
      <c r="H79" s="2">
        <f t="shared" si="7"/>
        <v>3.8</v>
      </c>
      <c r="I79" s="2">
        <f t="shared" si="8"/>
        <v>0.4472135955</v>
      </c>
    </row>
    <row r="80" ht="18.0" customHeight="1">
      <c r="A80" s="2" t="s">
        <v>194</v>
      </c>
      <c r="B80" s="4">
        <v>5.0</v>
      </c>
      <c r="C80" s="4">
        <v>5.0</v>
      </c>
      <c r="D80" s="4">
        <v>4.0</v>
      </c>
      <c r="E80" s="5"/>
      <c r="F80" s="4">
        <v>5.0</v>
      </c>
      <c r="G80" s="4">
        <v>5.0</v>
      </c>
      <c r="H80" s="2">
        <f t="shared" si="7"/>
        <v>4.8</v>
      </c>
      <c r="I80" s="2">
        <f t="shared" si="8"/>
        <v>0.4472135955</v>
      </c>
    </row>
    <row r="81" ht="18.0" customHeight="1">
      <c r="A81" s="2" t="s">
        <v>195</v>
      </c>
      <c r="B81" s="4">
        <v>4.0</v>
      </c>
      <c r="C81" s="4">
        <v>4.0</v>
      </c>
      <c r="D81" s="4">
        <v>3.0</v>
      </c>
      <c r="E81" s="6"/>
      <c r="F81" s="4">
        <v>4.0</v>
      </c>
      <c r="G81" s="4">
        <v>5.0</v>
      </c>
      <c r="H81" s="2">
        <f t="shared" si="7"/>
        <v>4</v>
      </c>
      <c r="I81" s="2">
        <f t="shared" si="8"/>
        <v>0.7071067812</v>
      </c>
    </row>
    <row r="82" ht="18.0" customHeight="1">
      <c r="A82" s="2" t="s">
        <v>196</v>
      </c>
      <c r="B82" s="4">
        <v>5.0</v>
      </c>
      <c r="C82" s="4">
        <v>6.0</v>
      </c>
      <c r="D82" s="4">
        <v>6.0</v>
      </c>
      <c r="E82" s="4">
        <v>6.0</v>
      </c>
      <c r="F82" s="3"/>
      <c r="G82" s="4">
        <v>6.0</v>
      </c>
      <c r="H82" s="2">
        <f t="shared" ref="H82:H102" si="9">AVERAGE(B82:E82,G82)</f>
        <v>5.8</v>
      </c>
      <c r="I82" s="2">
        <f t="shared" ref="I82:I102" si="10">STDEV(B82:E82,G82)</f>
        <v>0.4472135955</v>
      </c>
    </row>
    <row r="83" ht="18.0" customHeight="1">
      <c r="A83" s="2" t="s">
        <v>197</v>
      </c>
      <c r="B83" s="4">
        <v>6.0</v>
      </c>
      <c r="C83" s="4">
        <v>6.0</v>
      </c>
      <c r="D83" s="4">
        <v>5.0</v>
      </c>
      <c r="E83" s="4">
        <v>5.0</v>
      </c>
      <c r="F83" s="5"/>
      <c r="G83" s="4">
        <v>4.0</v>
      </c>
      <c r="H83" s="2">
        <f t="shared" si="9"/>
        <v>5.2</v>
      </c>
      <c r="I83" s="2">
        <f t="shared" si="10"/>
        <v>0.8366600265</v>
      </c>
    </row>
    <row r="84" ht="18.0" customHeight="1">
      <c r="A84" s="2" t="s">
        <v>198</v>
      </c>
      <c r="B84" s="4">
        <v>6.0</v>
      </c>
      <c r="C84" s="4">
        <v>5.0</v>
      </c>
      <c r="D84" s="4">
        <v>5.0</v>
      </c>
      <c r="E84" s="4">
        <v>5.0</v>
      </c>
      <c r="F84" s="5"/>
      <c r="G84" s="4">
        <v>4.0</v>
      </c>
      <c r="H84" s="2">
        <f t="shared" si="9"/>
        <v>5</v>
      </c>
      <c r="I84" s="2">
        <f t="shared" si="10"/>
        <v>0.7071067812</v>
      </c>
    </row>
    <row r="85" ht="18.0" customHeight="1">
      <c r="A85" s="2" t="s">
        <v>199</v>
      </c>
      <c r="B85" s="4">
        <v>6.0</v>
      </c>
      <c r="C85" s="4">
        <v>5.0</v>
      </c>
      <c r="D85" s="4">
        <v>4.0</v>
      </c>
      <c r="E85" s="4">
        <v>4.0</v>
      </c>
      <c r="F85" s="5"/>
      <c r="G85" s="4">
        <v>4.0</v>
      </c>
      <c r="H85" s="2">
        <f t="shared" si="9"/>
        <v>4.6</v>
      </c>
      <c r="I85" s="2">
        <f t="shared" si="10"/>
        <v>0.894427191</v>
      </c>
    </row>
    <row r="86" ht="18.0" customHeight="1">
      <c r="A86" s="2" t="s">
        <v>200</v>
      </c>
      <c r="B86" s="4">
        <v>6.0</v>
      </c>
      <c r="C86" s="4">
        <v>6.0</v>
      </c>
      <c r="D86" s="4">
        <v>5.0</v>
      </c>
      <c r="E86" s="4">
        <v>5.0</v>
      </c>
      <c r="F86" s="5"/>
      <c r="G86" s="4">
        <v>5.0</v>
      </c>
      <c r="H86" s="2">
        <f t="shared" si="9"/>
        <v>5.4</v>
      </c>
      <c r="I86" s="2">
        <f t="shared" si="10"/>
        <v>0.5477225575</v>
      </c>
    </row>
    <row r="87" ht="18.0" customHeight="1">
      <c r="A87" s="2" t="s">
        <v>201</v>
      </c>
      <c r="B87" s="4">
        <v>4.0</v>
      </c>
      <c r="C87" s="4">
        <v>4.0</v>
      </c>
      <c r="D87" s="4">
        <v>3.0</v>
      </c>
      <c r="E87" s="4">
        <v>4.0</v>
      </c>
      <c r="F87" s="5"/>
      <c r="G87" s="4">
        <v>3.0</v>
      </c>
      <c r="H87" s="2">
        <f t="shared" si="9"/>
        <v>3.6</v>
      </c>
      <c r="I87" s="2">
        <f t="shared" si="10"/>
        <v>0.5477225575</v>
      </c>
    </row>
    <row r="88" ht="18.0" customHeight="1">
      <c r="A88" s="2" t="s">
        <v>202</v>
      </c>
      <c r="B88" s="4">
        <v>4.0</v>
      </c>
      <c r="C88" s="4">
        <v>4.0</v>
      </c>
      <c r="D88" s="4">
        <v>3.0</v>
      </c>
      <c r="E88" s="4">
        <v>4.0</v>
      </c>
      <c r="F88" s="5"/>
      <c r="G88" s="4">
        <v>3.0</v>
      </c>
      <c r="H88" s="2">
        <f t="shared" si="9"/>
        <v>3.6</v>
      </c>
      <c r="I88" s="2">
        <f t="shared" si="10"/>
        <v>0.5477225575</v>
      </c>
      <c r="J88" s="4" t="s">
        <v>203</v>
      </c>
    </row>
    <row r="89" ht="18.0" customHeight="1">
      <c r="A89" s="2" t="s">
        <v>204</v>
      </c>
      <c r="B89" s="4">
        <v>4.0</v>
      </c>
      <c r="C89" s="4">
        <v>4.0</v>
      </c>
      <c r="D89" s="4">
        <v>3.0</v>
      </c>
      <c r="E89" s="4">
        <v>4.0</v>
      </c>
      <c r="F89" s="5"/>
      <c r="G89" s="4">
        <v>3.0</v>
      </c>
      <c r="H89" s="2">
        <f t="shared" si="9"/>
        <v>3.6</v>
      </c>
      <c r="I89" s="2">
        <f t="shared" si="10"/>
        <v>0.5477225575</v>
      </c>
    </row>
    <row r="90" ht="18.0" customHeight="1">
      <c r="A90" s="2" t="s">
        <v>205</v>
      </c>
      <c r="B90" s="4">
        <v>4.0</v>
      </c>
      <c r="C90" s="4">
        <v>4.0</v>
      </c>
      <c r="D90" s="4">
        <v>3.0</v>
      </c>
      <c r="E90" s="4">
        <v>4.0</v>
      </c>
      <c r="F90" s="5"/>
      <c r="G90" s="4">
        <v>3.0</v>
      </c>
      <c r="H90" s="2">
        <f t="shared" si="9"/>
        <v>3.6</v>
      </c>
      <c r="I90" s="2">
        <f t="shared" si="10"/>
        <v>0.5477225575</v>
      </c>
    </row>
    <row r="91" ht="18.0" customHeight="1">
      <c r="A91" s="2" t="s">
        <v>206</v>
      </c>
      <c r="B91" s="4">
        <v>5.0</v>
      </c>
      <c r="C91" s="4">
        <v>5.0</v>
      </c>
      <c r="D91" s="4">
        <v>5.0</v>
      </c>
      <c r="E91" s="4">
        <v>4.0</v>
      </c>
      <c r="F91" s="5"/>
      <c r="G91" s="4">
        <v>4.0</v>
      </c>
      <c r="H91" s="2">
        <f t="shared" si="9"/>
        <v>4.6</v>
      </c>
      <c r="I91" s="2">
        <f t="shared" si="10"/>
        <v>0.5477225575</v>
      </c>
    </row>
    <row r="92" ht="18.0" customHeight="1">
      <c r="A92" s="2" t="s">
        <v>207</v>
      </c>
      <c r="B92" s="4">
        <v>5.0</v>
      </c>
      <c r="C92" s="4">
        <v>6.0</v>
      </c>
      <c r="D92" s="4">
        <v>5.0</v>
      </c>
      <c r="E92" s="4">
        <v>4.0</v>
      </c>
      <c r="F92" s="5"/>
      <c r="G92" s="4">
        <v>4.0</v>
      </c>
      <c r="H92" s="2">
        <f t="shared" si="9"/>
        <v>4.8</v>
      </c>
      <c r="I92" s="2">
        <f t="shared" si="10"/>
        <v>0.8366600265</v>
      </c>
    </row>
    <row r="93" ht="18.0" customHeight="1">
      <c r="A93" s="2" t="s">
        <v>208</v>
      </c>
      <c r="B93" s="4">
        <v>6.0</v>
      </c>
      <c r="C93" s="4">
        <v>6.0</v>
      </c>
      <c r="D93" s="4">
        <v>6.0</v>
      </c>
      <c r="E93" s="4">
        <v>6.0</v>
      </c>
      <c r="F93" s="5"/>
      <c r="G93" s="4">
        <v>4.0</v>
      </c>
      <c r="H93" s="2">
        <f t="shared" si="9"/>
        <v>5.6</v>
      </c>
      <c r="I93" s="2">
        <f t="shared" si="10"/>
        <v>0.894427191</v>
      </c>
    </row>
    <row r="94" ht="18.0" customHeight="1">
      <c r="A94" s="2" t="s">
        <v>209</v>
      </c>
      <c r="B94" s="4">
        <v>4.0</v>
      </c>
      <c r="C94" s="4">
        <v>4.0</v>
      </c>
      <c r="D94" s="4">
        <v>4.0</v>
      </c>
      <c r="E94" s="4">
        <v>4.0</v>
      </c>
      <c r="F94" s="5"/>
      <c r="G94" s="4">
        <v>5.0</v>
      </c>
      <c r="H94" s="2">
        <f t="shared" si="9"/>
        <v>4.2</v>
      </c>
      <c r="I94" s="2">
        <f t="shared" si="10"/>
        <v>0.4472135955</v>
      </c>
    </row>
    <row r="95" ht="18.0" customHeight="1">
      <c r="A95" s="2" t="s">
        <v>210</v>
      </c>
      <c r="B95" s="4">
        <v>4.0</v>
      </c>
      <c r="C95" s="4">
        <v>4.0</v>
      </c>
      <c r="D95" s="4">
        <v>4.0</v>
      </c>
      <c r="E95" s="4">
        <v>4.0</v>
      </c>
      <c r="F95" s="5"/>
      <c r="G95" s="4">
        <v>5.0</v>
      </c>
      <c r="H95" s="2">
        <f t="shared" si="9"/>
        <v>4.2</v>
      </c>
      <c r="I95" s="2">
        <f t="shared" si="10"/>
        <v>0.4472135955</v>
      </c>
    </row>
    <row r="96" ht="18.0" customHeight="1">
      <c r="A96" s="2" t="s">
        <v>211</v>
      </c>
      <c r="B96" s="4">
        <v>6.0</v>
      </c>
      <c r="C96" s="4">
        <v>6.0</v>
      </c>
      <c r="D96" s="4">
        <v>6.0</v>
      </c>
      <c r="E96" s="4">
        <v>5.0</v>
      </c>
      <c r="F96" s="5"/>
      <c r="G96" s="4">
        <v>4.0</v>
      </c>
      <c r="H96" s="2">
        <f t="shared" si="9"/>
        <v>5.4</v>
      </c>
      <c r="I96" s="2">
        <f t="shared" si="10"/>
        <v>0.894427191</v>
      </c>
    </row>
    <row r="97" ht="18.0" customHeight="1">
      <c r="A97" s="2" t="s">
        <v>212</v>
      </c>
      <c r="B97" s="4">
        <v>6.0</v>
      </c>
      <c r="C97" s="4">
        <v>6.0</v>
      </c>
      <c r="D97" s="4">
        <v>5.0</v>
      </c>
      <c r="E97" s="4">
        <v>4.0</v>
      </c>
      <c r="F97" s="5"/>
      <c r="G97" s="4">
        <v>5.0</v>
      </c>
      <c r="H97" s="2">
        <f t="shared" si="9"/>
        <v>5.2</v>
      </c>
      <c r="I97" s="2">
        <f t="shared" si="10"/>
        <v>0.8366600265</v>
      </c>
    </row>
    <row r="98" ht="18.0" customHeight="1">
      <c r="A98" s="2" t="s">
        <v>213</v>
      </c>
      <c r="B98" s="4">
        <v>6.0</v>
      </c>
      <c r="C98" s="4">
        <v>6.0</v>
      </c>
      <c r="D98" s="4">
        <v>6.0</v>
      </c>
      <c r="E98" s="4">
        <v>5.0</v>
      </c>
      <c r="F98" s="5"/>
      <c r="G98" s="4">
        <v>5.0</v>
      </c>
      <c r="H98" s="2">
        <f t="shared" si="9"/>
        <v>5.6</v>
      </c>
      <c r="I98" s="2">
        <f t="shared" si="10"/>
        <v>0.5477225575</v>
      </c>
    </row>
    <row r="99" ht="18.0" customHeight="1">
      <c r="A99" s="2" t="s">
        <v>214</v>
      </c>
      <c r="B99" s="4">
        <v>7.0</v>
      </c>
      <c r="C99" s="4">
        <v>6.0</v>
      </c>
      <c r="D99" s="4">
        <v>6.0</v>
      </c>
      <c r="E99" s="4">
        <v>6.0</v>
      </c>
      <c r="F99" s="5"/>
      <c r="G99" s="4">
        <v>5.0</v>
      </c>
      <c r="H99" s="2">
        <f t="shared" si="9"/>
        <v>6</v>
      </c>
      <c r="I99" s="2">
        <f t="shared" si="10"/>
        <v>0.7071067812</v>
      </c>
    </row>
    <row r="100" ht="18.0" customHeight="1">
      <c r="A100" s="2" t="s">
        <v>215</v>
      </c>
      <c r="B100" s="4">
        <v>4.0</v>
      </c>
      <c r="C100" s="4">
        <v>6.0</v>
      </c>
      <c r="D100" s="4">
        <v>6.0</v>
      </c>
      <c r="E100" s="4">
        <v>4.0</v>
      </c>
      <c r="F100" s="5"/>
      <c r="G100" s="4">
        <v>4.0</v>
      </c>
      <c r="H100" s="2">
        <f t="shared" si="9"/>
        <v>4.8</v>
      </c>
      <c r="I100" s="2">
        <f t="shared" si="10"/>
        <v>1.095445115</v>
      </c>
    </row>
    <row r="101" ht="18.0" customHeight="1">
      <c r="A101" s="2" t="s">
        <v>216</v>
      </c>
      <c r="B101" s="4">
        <v>4.0</v>
      </c>
      <c r="C101" s="4">
        <v>6.0</v>
      </c>
      <c r="D101" s="4">
        <v>5.0</v>
      </c>
      <c r="E101" s="4">
        <v>5.0</v>
      </c>
      <c r="F101" s="5"/>
      <c r="G101" s="4">
        <v>6.0</v>
      </c>
      <c r="H101" s="2">
        <f t="shared" si="9"/>
        <v>5.2</v>
      </c>
      <c r="I101" s="2">
        <f t="shared" si="10"/>
        <v>0.8366600265</v>
      </c>
    </row>
    <row r="102" ht="18.0" customHeight="1">
      <c r="A102" s="2" t="s">
        <v>217</v>
      </c>
      <c r="B102" s="4">
        <v>5.0</v>
      </c>
      <c r="C102" s="4">
        <v>6.0</v>
      </c>
      <c r="D102" s="4">
        <v>6.0</v>
      </c>
      <c r="E102" s="4">
        <v>4.0</v>
      </c>
      <c r="F102" s="6"/>
      <c r="G102" s="4">
        <v>6.0</v>
      </c>
      <c r="H102" s="2">
        <f t="shared" si="9"/>
        <v>5.4</v>
      </c>
      <c r="I102" s="2">
        <f t="shared" si="10"/>
        <v>0.894427191</v>
      </c>
    </row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B2:B21"/>
    <mergeCell ref="C22:C41"/>
    <mergeCell ref="D42:D61"/>
    <mergeCell ref="E62:E81"/>
    <mergeCell ref="F82:F10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2026-04-06T01:29:46Z</dcterms:created>
  <dc:creator>조예리[ 학부재학 / 국어국문학과 ]</dc:creator>
</cp:coreProperties>
</file>